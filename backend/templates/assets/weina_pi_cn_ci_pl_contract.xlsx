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 activeTab="3"/>
  </bookViews>
  <sheets>
    <sheet name="PI模板" sheetId="1" r:id="rId1"/>
    <sheet name="国内采购合同" sheetId="2" r:id="rId2"/>
    <sheet name="CI" sheetId="3" r:id="rId3"/>
    <sheet name="P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Jun</author>
  </authors>
  <commentList>
    <comment ref="A11" authorId="0">
      <text>
        <r>
          <rPr>
            <b/>
            <sz val="9"/>
            <rFont val="宋体"/>
            <charset val="134"/>
          </rPr>
          <t>Jun:</t>
        </r>
        <r>
          <rPr>
            <sz val="9"/>
            <rFont val="宋体"/>
            <charset val="134"/>
          </rPr>
          <t xml:space="preserve">
产品名称</t>
        </r>
      </text>
    </comment>
    <comment ref="B11" authorId="0">
      <text>
        <r>
          <rPr>
            <b/>
            <sz val="9"/>
            <rFont val="宋体"/>
            <charset val="134"/>
          </rPr>
          <t>Jun:</t>
        </r>
        <r>
          <rPr>
            <sz val="9"/>
            <rFont val="宋体"/>
            <charset val="134"/>
          </rPr>
          <t xml:space="preserve">
客户型号
</t>
        </r>
      </text>
    </comment>
  </commentList>
</comments>
</file>

<file path=xl/sharedStrings.xml><?xml version="1.0" encoding="utf-8"?>
<sst xmlns="http://schemas.openxmlformats.org/spreadsheetml/2006/main" count="325" uniqueCount="206">
  <si>
    <t>HANGZHOU WEINA TRADE CO., LTD.</t>
  </si>
  <si>
    <r>
      <rPr>
        <b/>
        <sz val="10"/>
        <color theme="1"/>
        <rFont val="宋体"/>
        <charset val="134"/>
        <scheme val="minor"/>
      </rPr>
      <t>PI.NO.:SP260521     Order Date:2026/05/21</t>
    </r>
    <r>
      <rPr>
        <b/>
        <i/>
        <sz val="8"/>
        <color rgb="FFFF0000"/>
        <rFont val="宋体"/>
        <charset val="134"/>
        <scheme val="minor"/>
      </rPr>
      <t>(生产正式合同的日期)</t>
    </r>
  </si>
  <si>
    <t>PROFORMA INVOICE</t>
  </si>
  <si>
    <t>BUYER(买方信息）</t>
  </si>
  <si>
    <t xml:space="preserve">SELLER:（卖方信息） </t>
  </si>
  <si>
    <t>TO:</t>
  </si>
  <si>
    <t xml:space="preserve">Domator24 </t>
  </si>
  <si>
    <t>Contact：</t>
  </si>
  <si>
    <t>Lisa chen</t>
  </si>
  <si>
    <t>系统用户，业务员名字</t>
  </si>
  <si>
    <t>Tel：</t>
  </si>
  <si>
    <t>+48 725 484 888</t>
  </si>
  <si>
    <t>Tel/WhatsApp：</t>
  </si>
  <si>
    <t>+86 132 8282 0031</t>
  </si>
  <si>
    <t>ADDRESS:</t>
  </si>
  <si>
    <t>ul. Dekoracyjna 10
65-158 Zielona Góra
NIP: 929207228863</t>
  </si>
  <si>
    <t>Nanyuan Street, Lingping town of Hangzhou City, Zhejiang China, ZIP CODE 311000
TEL: 0086-571-86144203
Email:  Lisa@viiner.com</t>
  </si>
  <si>
    <t>Final 
Destination：</t>
  </si>
  <si>
    <t>PL</t>
  </si>
  <si>
    <t>Delivery date:</t>
  </si>
  <si>
    <t>30 days after the deposit is paid</t>
  </si>
  <si>
    <t>NAME</t>
  </si>
  <si>
    <t>CODE</t>
  </si>
  <si>
    <t>PHOTO</t>
  </si>
  <si>
    <t>Description</t>
  </si>
  <si>
    <t>Specification</t>
  </si>
  <si>
    <t>pcs/ctn</t>
  </si>
  <si>
    <t>Color</t>
  </si>
  <si>
    <t>QTY</t>
  </si>
  <si>
    <t>PRICE
FOB</t>
  </si>
  <si>
    <t>Amount</t>
  </si>
  <si>
    <t>55CM Yoga Ball</t>
  </si>
  <si>
    <t>Diameter 55CM,  
Use CUSTOM VELVET FABRIC</t>
  </si>
  <si>
    <t>55CM</t>
  </si>
  <si>
    <t>1pc/ctn</t>
  </si>
  <si>
    <t xml:space="preserve">Bloody mary </t>
  </si>
  <si>
    <t xml:space="preserve">Burning black </t>
  </si>
  <si>
    <t>Nightwolf moon 
Fi550</t>
  </si>
  <si>
    <t>65cm Yoga ball</t>
  </si>
  <si>
    <t>Diameter 65CM,  
Use CUSTOM VELVET FABRIC</t>
  </si>
  <si>
    <t>65CM</t>
  </si>
  <si>
    <t>/</t>
  </si>
  <si>
    <t>Sample 1</t>
  </si>
  <si>
    <t>Accessories</t>
  </si>
  <si>
    <t>Additional benefits</t>
  </si>
  <si>
    <t>TOTAL:</t>
  </si>
  <si>
    <t xml:space="preserve">SAY TOTAL: </t>
  </si>
  <si>
    <t>Remark：</t>
  </si>
  <si>
    <t>BANK INFORMATION:</t>
  </si>
  <si>
    <t>Should be have labels with a crossed knife to each box with pillows.        
The label thread on the back of the seat cushion.</t>
  </si>
  <si>
    <t>Beneficiary:</t>
  </si>
  <si>
    <t>HANGZHOU WEINA TRADE CO.,LTD</t>
  </si>
  <si>
    <t>1.Price Terms:FOB</t>
  </si>
  <si>
    <t xml:space="preserve">BANK NAME: </t>
  </si>
  <si>
    <t xml:space="preserve"> ZHEJIANG TAILONG COMMERCIAL BANK CO.,LTD</t>
  </si>
  <si>
    <t>2.Payment Terms: T/T 10% deposit ,The 90% balance according to the BL.</t>
  </si>
  <si>
    <t>BANK ADDRESS:</t>
  </si>
  <si>
    <t>LUQIAO TAIZHOU ZHEJIANG CHINA</t>
  </si>
  <si>
    <t>3. SHIPPING MARKS ARE BUYER'S OPTION</t>
  </si>
  <si>
    <t>SWIFT  BIC:</t>
  </si>
  <si>
    <t>ZJTLCNBH</t>
  </si>
  <si>
    <t>Warranty Time: 13 months after the shiping date</t>
  </si>
  <si>
    <t>Tel&amp;Fax:</t>
  </si>
  <si>
    <t xml:space="preserve">Tel:+86-571-89178855 </t>
  </si>
  <si>
    <t xml:space="preserve">Account No: </t>
  </si>
  <si>
    <t>NRA33020020201000027051</t>
  </si>
  <si>
    <t>The Seller's Signature and stamp</t>
  </si>
  <si>
    <t>The Buyer's Signature and stamp</t>
  </si>
  <si>
    <t xml:space="preserve">
Printed Name:          Signature:
</t>
  </si>
  <si>
    <t xml:space="preserve">Printed Name:            Signature:
</t>
  </si>
  <si>
    <t>杭州维那贸易有限公司</t>
  </si>
  <si>
    <t>采购合同</t>
  </si>
  <si>
    <t>合 同 编 号</t>
  </si>
  <si>
    <t>供应商编号 + 维那编号 +采购日期 +序号  （XLW2204171）</t>
  </si>
  <si>
    <t>合 同 日 期:</t>
  </si>
  <si>
    <t>卖方（盖章）</t>
  </si>
  <si>
    <t>买方（盖章）</t>
  </si>
  <si>
    <t>供 应 商</t>
  </si>
  <si>
    <t>安吉大龙家具有限公司</t>
  </si>
  <si>
    <t>采 购 商</t>
  </si>
  <si>
    <t>联 系 人</t>
  </si>
  <si>
    <t>Jack Liu</t>
  </si>
  <si>
    <t>Jacky</t>
  </si>
  <si>
    <t>联系电话</t>
  </si>
  <si>
    <t>0572-5718520</t>
  </si>
  <si>
    <t>地    址</t>
  </si>
  <si>
    <t>浙江省安吉县康山工业园</t>
  </si>
  <si>
    <t>图片</t>
  </si>
  <si>
    <r>
      <rPr>
        <b/>
        <sz val="11"/>
        <color theme="1"/>
        <rFont val="宋体"/>
        <charset val="134"/>
        <scheme val="minor"/>
      </rPr>
      <t xml:space="preserve">维那型号
</t>
    </r>
    <r>
      <rPr>
        <b/>
        <sz val="11"/>
        <color rgb="FFFF0000"/>
        <rFont val="宋体"/>
        <charset val="134"/>
        <scheme val="minor"/>
      </rPr>
      <t>客户编号</t>
    </r>
  </si>
  <si>
    <t>工厂型号</t>
  </si>
  <si>
    <t>产品名称</t>
  </si>
  <si>
    <t>描述</t>
  </si>
  <si>
    <t>规格/CM</t>
  </si>
  <si>
    <t>外包装尺寸</t>
  </si>
  <si>
    <t>数量</t>
  </si>
  <si>
    <t>单位</t>
  </si>
  <si>
    <t>净重/毛重</t>
  </si>
  <si>
    <t>单价（含税）</t>
  </si>
  <si>
    <t>总金额（含税）</t>
  </si>
  <si>
    <t>WN6712</t>
  </si>
  <si>
    <t>XL-6712</t>
  </si>
  <si>
    <t>电竞椅</t>
  </si>
  <si>
    <t>1.全PU面料
2.普通可调节4D扶手
3.350mm铁脚搭配65mm PU轮子
4.155 度 调角器+外壳
5.普通蝴蝶托盘
6.100mm 莱特4级气杆
7.腰靠弹出功能+坐垫使用F750铁架
8.记忆棉头枕</t>
  </si>
  <si>
    <t>68.5*74.5*127-135</t>
  </si>
  <si>
    <t>86*66*38cm</t>
  </si>
  <si>
    <t>个</t>
  </si>
  <si>
    <t>26.5/29.6</t>
  </si>
  <si>
    <t>XL-6712-01</t>
  </si>
  <si>
    <t>1.1718-18 灰色麻布
2.普通可调节4D扶手
3.350mm铁脚搭配65mm PU轮子
4.155 度调角器+外壳
5.普通蝴蝶托盘
6.100mm莱特4级气杆
7.腰靠弹出功能+坐垫使用F750铁架
8.记忆棉头枕</t>
  </si>
  <si>
    <t>总计</t>
  </si>
  <si>
    <t>产品要求</t>
  </si>
  <si>
    <t xml:space="preserve">无褶皱，清洁无线头，无银光笔笔痕，logo不能倾斜，正确区分青蛙托坐垫跟蝴蝶托坐垫                                         </t>
  </si>
  <si>
    <t>自定义内容1</t>
  </si>
  <si>
    <t>包装要求</t>
  </si>
  <si>
    <t>300磅五层双瓦纸箱，内加EPE打包方式</t>
  </si>
  <si>
    <t>自定义内容2</t>
  </si>
  <si>
    <t>交货日期</t>
  </si>
  <si>
    <t>2025/05/18日前</t>
  </si>
  <si>
    <t>交货地址</t>
  </si>
  <si>
    <t>送到买方指定仓库（卖方负责运输费用）</t>
  </si>
  <si>
    <t>供应商收款名称</t>
  </si>
  <si>
    <t>收货联系人</t>
  </si>
  <si>
    <t>可修改</t>
  </si>
  <si>
    <t>开发行及账号</t>
  </si>
  <si>
    <t>湖州银行股份有限公司安吉支行   811265887000909</t>
  </si>
  <si>
    <t>付款方式</t>
  </si>
  <si>
    <t>下好订单，卖方确认合同盖章后付预付款；预付款30%，剩余款装货前付清</t>
  </si>
  <si>
    <t>付款方式：内容自定义</t>
  </si>
  <si>
    <t>备注</t>
  </si>
  <si>
    <t>合同条款：</t>
  </si>
  <si>
    <t>1.本合同自签订之日起，盖章签字后生效。如需修改或终止时，应经双方协商同意，另立协议方可有效。</t>
  </si>
  <si>
    <t>2.本合同在执行期间任何一方违约，由双方协商解决，违约需赔偿损失。</t>
  </si>
  <si>
    <t>3.买方接收货物，视为卖方履行生产义务；检验不合格的部件由卖方补发，买方根据情况要求卖方承担相应的违约责任。</t>
  </si>
  <si>
    <t>4.在未达成新的协议前，卖方如需调整价格，需提前一个月向买方协商，同时卖方不得影响买方的正常供货。</t>
  </si>
  <si>
    <t>卖方：</t>
  </si>
  <si>
    <t>买方：</t>
  </si>
  <si>
    <r>
      <rPr>
        <b/>
        <sz val="11"/>
        <rFont val="宋体"/>
        <charset val="134"/>
      </rPr>
      <t>单位名称</t>
    </r>
    <r>
      <rPr>
        <b/>
        <sz val="11"/>
        <rFont val="Times New Roman"/>
        <charset val="0"/>
      </rPr>
      <t>(</t>
    </r>
    <r>
      <rPr>
        <b/>
        <sz val="11"/>
        <rFont val="宋体"/>
        <charset val="134"/>
      </rPr>
      <t>公章</t>
    </r>
    <r>
      <rPr>
        <b/>
        <sz val="11"/>
        <rFont val="Times New Roman"/>
        <charset val="0"/>
      </rPr>
      <t>)</t>
    </r>
    <r>
      <rPr>
        <b/>
        <sz val="11"/>
        <rFont val="宋体"/>
        <charset val="134"/>
      </rPr>
      <t>：</t>
    </r>
  </si>
  <si>
    <t xml:space="preserve">单位地址： </t>
  </si>
  <si>
    <t>单位地址：</t>
  </si>
  <si>
    <t>浙江省杭州市临平区南苑街道石门街6号2007</t>
  </si>
  <si>
    <t>联系人:</t>
  </si>
  <si>
    <t>李荣军</t>
  </si>
  <si>
    <t>电话：</t>
  </si>
  <si>
    <t xml:space="preserve"> </t>
  </si>
  <si>
    <t>0571-86131966</t>
  </si>
  <si>
    <t>Office No.901-903 Fubang Xingzuo Building,No.68 Sancao Road, Hangzhou City,Zhejiang China,ZIP CODE 311100</t>
  </si>
  <si>
    <t>COMMERCIAL INVOICE</t>
  </si>
  <si>
    <t>MILLENNIALS TRAVEL S.A.C
RUC:20604739315 CALLE.CABO
BLANCO MZA.C4 LOTE.12 DPTO.201.
CEDROS DE VILLA CHORRILLOS PERU</t>
  </si>
  <si>
    <t>S/C NO:</t>
  </si>
  <si>
    <t>WL20260104</t>
  </si>
  <si>
    <t>Loading date:</t>
  </si>
  <si>
    <t>01/04/2026</t>
  </si>
  <si>
    <t>From</t>
  </si>
  <si>
    <t xml:space="preserve">SHANGHAI CHINA </t>
  </si>
  <si>
    <t>To</t>
  </si>
  <si>
    <t>CALLAO,PERU</t>
  </si>
  <si>
    <t>Letter Of Credit No.</t>
  </si>
  <si>
    <t>TT</t>
  </si>
  <si>
    <t>FOB</t>
  </si>
  <si>
    <t>SHANGHAI</t>
  </si>
  <si>
    <t xml:space="preserve">    Marks &amp; Nos</t>
  </si>
  <si>
    <t>PI NO.</t>
  </si>
  <si>
    <t xml:space="preserve">          Quantities</t>
  </si>
  <si>
    <t xml:space="preserve">        Unit Price</t>
  </si>
  <si>
    <t xml:space="preserve">        Amount</t>
  </si>
  <si>
    <t>S260512</t>
  </si>
  <si>
    <t>SR12-GRAND-Footrest</t>
  </si>
  <si>
    <t>leather-black</t>
  </si>
  <si>
    <t>SR12-GRAND-Leather</t>
  </si>
  <si>
    <t>SR12-GRAND-Fabric</t>
  </si>
  <si>
    <t>fabric-grey</t>
  </si>
  <si>
    <t>SRF2</t>
  </si>
  <si>
    <t>Black</t>
  </si>
  <si>
    <t>GREY</t>
  </si>
  <si>
    <t>S251219</t>
  </si>
  <si>
    <t>SR7</t>
  </si>
  <si>
    <t>SR6</t>
  </si>
  <si>
    <t>S251108</t>
  </si>
  <si>
    <t>Tilt Mechanism 
(Butterfly Plate)</t>
  </si>
  <si>
    <t>4D Armrest</t>
  </si>
  <si>
    <t>1 Left + 1 Right</t>
  </si>
  <si>
    <t>3D Armrest</t>
  </si>
  <si>
    <t>Right Side Plastic 
Hinge Cover sr12</t>
  </si>
  <si>
    <t>Right Side only</t>
  </si>
  <si>
    <t>Carbon Fiber Style Plastic Cover sr12</t>
  </si>
  <si>
    <t>N/A</t>
  </si>
  <si>
    <t>Reclining Lever
Side Mechanism</t>
  </si>
  <si>
    <t>Total</t>
  </si>
  <si>
    <t>Actually loaded</t>
  </si>
  <si>
    <t>Order Amount</t>
  </si>
  <si>
    <t>DEPOSIT APPLIED</t>
  </si>
  <si>
    <t>Discount</t>
  </si>
  <si>
    <t>Balance PAYMENT</t>
  </si>
  <si>
    <t>PACKING LIST</t>
  </si>
  <si>
    <t>Product</t>
  </si>
  <si>
    <t>PKGS(CTNS)</t>
  </si>
  <si>
    <t>TTL QTY(PCS)</t>
  </si>
  <si>
    <t>G.W.(KGS)</t>
  </si>
  <si>
    <t>N.W.(KGS)</t>
  </si>
  <si>
    <t>MEAS(CBM)</t>
  </si>
  <si>
    <t>N/M</t>
  </si>
  <si>
    <r>
      <t>‘=</t>
    </r>
    <r>
      <rPr>
        <sz val="10"/>
        <color rgb="FFFF0000"/>
        <rFont val="宋体"/>
        <charset val="134"/>
      </rPr>
      <t>箱数</t>
    </r>
    <r>
      <rPr>
        <sz val="10"/>
        <color rgb="FFFF0000"/>
        <rFont val="Arial"/>
        <charset val="134"/>
      </rPr>
      <t>*</t>
    </r>
    <r>
      <rPr>
        <sz val="10"/>
        <color rgb="FFFF0000"/>
        <rFont val="宋体"/>
        <charset val="134"/>
      </rPr>
      <t>单箱的体积</t>
    </r>
  </si>
  <si>
    <t>30 PCS</t>
  </si>
  <si>
    <t>默认取值，可修改保存</t>
  </si>
  <si>
    <t>40 PCS</t>
  </si>
  <si>
    <t>50 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</si>
</sst>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&quot; ctns&quot;"/>
    <numFmt numFmtId="177" formatCode="#&quot; pcs&quot;"/>
    <numFmt numFmtId="178" formatCode="#&quot; kgs&quot;"/>
    <numFmt numFmtId="179" formatCode="#&quot;kgs&quot;"/>
    <numFmt numFmtId="180" formatCode="0.00_ "/>
    <numFmt numFmtId="181" formatCode="\$#,##0.00;\-\$#,##0.00"/>
    <numFmt numFmtId="182" formatCode="[$USD]\ #,##0.00;[$USD]\ \-#,##0.00"/>
    <numFmt numFmtId="183" formatCode="\ @"/>
    <numFmt numFmtId="184" formatCode="0_ "/>
  </numFmts>
  <fonts count="73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sz val="14"/>
      <name val="Times New Roman"/>
      <charset val="0"/>
    </font>
    <font>
      <sz val="12"/>
      <name val="Times New Roman"/>
      <charset val="0"/>
    </font>
    <font>
      <b/>
      <sz val="16"/>
      <name val="Times New Roman"/>
      <charset val="0"/>
    </font>
    <font>
      <sz val="10"/>
      <name val="Times New Roman"/>
      <charset val="0"/>
    </font>
    <font>
      <sz val="10"/>
      <name val="宋体"/>
      <charset val="134"/>
    </font>
    <font>
      <sz val="11"/>
      <name val="宋体"/>
      <charset val="134"/>
    </font>
    <font>
      <sz val="11"/>
      <name val="Times New Roman"/>
      <charset val="0"/>
    </font>
    <font>
      <sz val="11"/>
      <name val="Calibri"/>
      <charset val="134"/>
    </font>
    <font>
      <sz val="12"/>
      <name val="宋体"/>
      <charset val="134"/>
    </font>
    <font>
      <b/>
      <sz val="12"/>
      <name val="Times New Roman"/>
      <charset val="0"/>
    </font>
    <font>
      <sz val="10"/>
      <name val="Tahoma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rgb="FFFF0000"/>
      <name val="宋体"/>
      <charset val="134"/>
    </font>
    <font>
      <b/>
      <sz val="16"/>
      <name val="宋体"/>
      <charset val="134"/>
    </font>
    <font>
      <b/>
      <sz val="14"/>
      <name val="宋体"/>
      <charset val="134"/>
    </font>
    <font>
      <b/>
      <sz val="14"/>
      <name val="Times New Roman"/>
      <charset val="0"/>
    </font>
    <font>
      <b/>
      <sz val="12"/>
      <name val="宋体"/>
      <charset val="134"/>
    </font>
    <font>
      <sz val="10"/>
      <name val="Arial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rgb="FFFF0000"/>
      <name val="Times New Roman"/>
      <charset val="0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2"/>
      <color theme="1"/>
      <name val="微软雅黑"/>
      <charset val="134"/>
    </font>
    <font>
      <b/>
      <sz val="10"/>
      <color theme="1"/>
      <name val="宋体"/>
      <charset val="134"/>
    </font>
    <font>
      <b/>
      <sz val="11"/>
      <name val="宋体"/>
      <charset val="134"/>
    </font>
    <font>
      <b/>
      <sz val="2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16"/>
      <color theme="1"/>
      <name val="Adobe Gothic Std B"/>
      <charset val="134"/>
    </font>
    <font>
      <b/>
      <sz val="10"/>
      <color theme="1"/>
      <name val="Adobe Gothic Std B"/>
      <charset val="134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i/>
      <sz val="9"/>
      <color rgb="FFFF0000"/>
      <name val="宋体"/>
      <charset val="134"/>
      <scheme val="minor"/>
    </font>
    <font>
      <b/>
      <sz val="10"/>
      <color theme="1"/>
      <name val="Arial"/>
      <charset val="134"/>
    </font>
    <font>
      <sz val="12"/>
      <color theme="1"/>
      <name val="黑体"/>
      <charset val="134"/>
    </font>
    <font>
      <sz val="11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name val="Arial"/>
      <charset val="134"/>
    </font>
    <font>
      <sz val="16"/>
      <color theme="1"/>
      <name val="Arial"/>
      <charset val="134"/>
    </font>
    <font>
      <sz val="10"/>
      <color indexed="8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b/>
      <i/>
      <sz val="8"/>
      <color rgb="FFFF0000"/>
      <name val="宋体"/>
      <charset val="134"/>
      <scheme val="minor"/>
    </font>
    <font>
      <b/>
      <sz val="11"/>
      <name val="Times New Roman"/>
      <charset val="0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0" fillId="7" borderId="36">
      <alignment vertical="center"/>
    </xf>
    <xf numFmtId="0" fontId="51" fillId="0" borderId="0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54" fillId="0" borderId="37">
      <alignment vertical="center"/>
    </xf>
    <xf numFmtId="0" fontId="55" fillId="0" borderId="37">
      <alignment vertical="center"/>
    </xf>
    <xf numFmtId="0" fontId="56" fillId="0" borderId="38">
      <alignment vertical="center"/>
    </xf>
    <xf numFmtId="0" fontId="56" fillId="0" borderId="0">
      <alignment vertical="center"/>
    </xf>
    <xf numFmtId="0" fontId="57" fillId="8" borderId="39">
      <alignment vertical="center"/>
    </xf>
    <xf numFmtId="0" fontId="58" fillId="9" borderId="40">
      <alignment vertical="center"/>
    </xf>
    <xf numFmtId="0" fontId="59" fillId="9" borderId="39">
      <alignment vertical="center"/>
    </xf>
    <xf numFmtId="0" fontId="60" fillId="10" borderId="41">
      <alignment vertical="center"/>
    </xf>
    <xf numFmtId="0" fontId="61" fillId="0" borderId="42">
      <alignment vertical="center"/>
    </xf>
    <xf numFmtId="0" fontId="62" fillId="0" borderId="43">
      <alignment vertical="center"/>
    </xf>
    <xf numFmtId="0" fontId="63" fillId="11" borderId="0">
      <alignment vertical="center"/>
    </xf>
    <xf numFmtId="0" fontId="64" fillId="12" borderId="0">
      <alignment vertical="center"/>
    </xf>
    <xf numFmtId="0" fontId="65" fillId="13" borderId="0">
      <alignment vertical="center"/>
    </xf>
    <xf numFmtId="0" fontId="66" fillId="14" borderId="0">
      <alignment vertical="center"/>
    </xf>
    <xf numFmtId="0" fontId="67" fillId="15" borderId="0">
      <alignment vertical="center"/>
    </xf>
    <xf numFmtId="0" fontId="67" fillId="16" borderId="0">
      <alignment vertical="center"/>
    </xf>
    <xf numFmtId="0" fontId="66" fillId="17" borderId="0">
      <alignment vertical="center"/>
    </xf>
    <xf numFmtId="0" fontId="66" fillId="18" borderId="0">
      <alignment vertical="center"/>
    </xf>
    <xf numFmtId="0" fontId="67" fillId="19" borderId="0">
      <alignment vertical="center"/>
    </xf>
    <xf numFmtId="0" fontId="67" fillId="20" borderId="0">
      <alignment vertical="center"/>
    </xf>
    <xf numFmtId="0" fontId="66" fillId="21" borderId="0">
      <alignment vertical="center"/>
    </xf>
    <xf numFmtId="0" fontId="66" fillId="22" borderId="0">
      <alignment vertical="center"/>
    </xf>
    <xf numFmtId="0" fontId="67" fillId="23" borderId="0">
      <alignment vertical="center"/>
    </xf>
    <xf numFmtId="0" fontId="67" fillId="24" borderId="0">
      <alignment vertical="center"/>
    </xf>
    <xf numFmtId="0" fontId="66" fillId="25" borderId="0">
      <alignment vertical="center"/>
    </xf>
    <xf numFmtId="0" fontId="66" fillId="26" borderId="0">
      <alignment vertical="center"/>
    </xf>
    <xf numFmtId="0" fontId="67" fillId="27" borderId="0">
      <alignment vertical="center"/>
    </xf>
    <xf numFmtId="0" fontId="67" fillId="28" borderId="0">
      <alignment vertical="center"/>
    </xf>
    <xf numFmtId="0" fontId="66" fillId="29" borderId="0">
      <alignment vertical="center"/>
    </xf>
    <xf numFmtId="0" fontId="66" fillId="30" borderId="0">
      <alignment vertical="center"/>
    </xf>
    <xf numFmtId="0" fontId="67" fillId="31" borderId="0">
      <alignment vertical="center"/>
    </xf>
    <xf numFmtId="0" fontId="67" fillId="32" borderId="0">
      <alignment vertical="center"/>
    </xf>
    <xf numFmtId="0" fontId="66" fillId="33" borderId="0">
      <alignment vertical="center"/>
    </xf>
    <xf numFmtId="0" fontId="66" fillId="34" borderId="0">
      <alignment vertical="center"/>
    </xf>
    <xf numFmtId="0" fontId="67" fillId="35" borderId="0">
      <alignment vertical="center"/>
    </xf>
    <xf numFmtId="0" fontId="67" fillId="36" borderId="0">
      <alignment vertical="center"/>
    </xf>
    <xf numFmtId="0" fontId="66" fillId="37" borderId="0">
      <alignment vertical="center"/>
    </xf>
    <xf numFmtId="0" fontId="10" fillId="0" borderId="0">
      <alignment vertical="center"/>
    </xf>
    <xf numFmtId="0" fontId="68" fillId="0" borderId="0"/>
    <xf numFmtId="38" fontId="0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230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/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/>
    <xf numFmtId="0" fontId="7" fillId="0" borderId="1" xfId="0" applyFont="1" applyFill="1" applyBorder="1" applyAlignment="1"/>
    <xf numFmtId="0" fontId="3" fillId="0" borderId="2" xfId="0" applyFont="1" applyFill="1" applyBorder="1" applyAlignment="1"/>
    <xf numFmtId="0" fontId="10" fillId="0" borderId="2" xfId="0" applyFont="1" applyFill="1" applyBorder="1" applyAlignment="1"/>
    <xf numFmtId="0" fontId="10" fillId="0" borderId="0" xfId="0" applyFont="1" applyFill="1" applyAlignment="1"/>
    <xf numFmtId="0" fontId="11" fillId="0" borderId="0" xfId="0" applyFont="1" applyFill="1" applyBorder="1" applyAlignment="1"/>
    <xf numFmtId="0" fontId="8" fillId="0" borderId="3" xfId="0" applyFont="1" applyFill="1" applyBorder="1" applyAlignment="1"/>
    <xf numFmtId="0" fontId="10" fillId="0" borderId="3" xfId="0" applyFont="1" applyFill="1" applyBorder="1" applyAlignment="1"/>
    <xf numFmtId="0" fontId="7" fillId="0" borderId="3" xfId="0" applyFont="1" applyFill="1" applyBorder="1" applyAlignment="1"/>
    <xf numFmtId="0" fontId="11" fillId="0" borderId="3" xfId="0" applyFont="1" applyFill="1" applyBorder="1" applyAlignment="1"/>
    <xf numFmtId="0" fontId="10" fillId="0" borderId="1" xfId="0" applyNumberFormat="1" applyFont="1" applyFill="1" applyBorder="1" applyAlignment="1"/>
    <xf numFmtId="0" fontId="8" fillId="0" borderId="1" xfId="0" applyFont="1" applyFill="1" applyBorder="1" applyAlignment="1">
      <alignment horizontal="center"/>
    </xf>
    <xf numFmtId="0" fontId="10" fillId="0" borderId="1" xfId="0" applyFont="1" applyFill="1" applyBorder="1" applyAlignment="1"/>
    <xf numFmtId="0" fontId="11" fillId="0" borderId="1" xfId="0" applyNumberFormat="1" applyFont="1" applyFill="1" applyBorder="1" applyAlignment="1"/>
    <xf numFmtId="0" fontId="10" fillId="0" borderId="0" xfId="0" applyFont="1" applyFill="1" applyBorder="1" applyAlignment="1"/>
    <xf numFmtId="0" fontId="11" fillId="0" borderId="4" xfId="0" applyFont="1" applyFill="1" applyBorder="1" applyAlignment="1"/>
    <xf numFmtId="0" fontId="10" fillId="0" borderId="5" xfId="0" applyFont="1" applyFill="1" applyBorder="1" applyAlignment="1"/>
    <xf numFmtId="0" fontId="11" fillId="0" borderId="6" xfId="0" applyFont="1" applyFill="1" applyBorder="1" applyAlignment="1"/>
    <xf numFmtId="0" fontId="10" fillId="0" borderId="6" xfId="0" applyFont="1" applyFill="1" applyBorder="1" applyAlignment="1"/>
    <xf numFmtId="0" fontId="11" fillId="0" borderId="7" xfId="0" applyFont="1" applyFill="1" applyBorder="1" applyAlignment="1"/>
    <xf numFmtId="0" fontId="11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vertical="center" wrapText="1"/>
    </xf>
    <xf numFmtId="176" fontId="12" fillId="0" borderId="10" xfId="52" applyNumberFormat="1" applyFont="1" applyBorder="1" applyAlignment="1">
      <alignment horizontal="center" vertical="center" wrapText="1"/>
    </xf>
    <xf numFmtId="177" fontId="12" fillId="0" borderId="10" xfId="52" applyNumberFormat="1" applyFont="1" applyBorder="1" applyAlignment="1">
      <alignment horizontal="center" vertical="center" wrapText="1"/>
    </xf>
    <xf numFmtId="178" fontId="13" fillId="0" borderId="10" xfId="0" applyNumberFormat="1" applyFont="1" applyFill="1" applyBorder="1" applyAlignment="1">
      <alignment horizontal="center" vertical="center" wrapText="1"/>
    </xf>
    <xf numFmtId="179" fontId="13" fillId="0" borderId="10" xfId="0" applyNumberFormat="1" applyFont="1" applyFill="1" applyBorder="1" applyAlignment="1">
      <alignment horizontal="center" vertical="center" wrapText="1"/>
    </xf>
    <xf numFmtId="180" fontId="14" fillId="0" borderId="10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180" fontId="15" fillId="0" borderId="10" xfId="0" applyNumberFormat="1" applyFont="1" applyFill="1" applyBorder="1" applyAlignment="1">
      <alignment horizontal="center" vertical="center" wrapText="1"/>
    </xf>
    <xf numFmtId="180" fontId="13" fillId="0" borderId="10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vertical="center" wrapText="1"/>
    </xf>
    <xf numFmtId="179" fontId="13" fillId="0" borderId="10" xfId="0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vertical="center" wrapText="1"/>
    </xf>
    <xf numFmtId="0" fontId="16" fillId="0" borderId="10" xfId="0" applyNumberFormat="1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180" fontId="17" fillId="0" borderId="10" xfId="0" applyNumberFormat="1" applyFont="1" applyFill="1" applyBorder="1" applyAlignment="1">
      <alignment horizontal="center" vertical="center"/>
    </xf>
    <xf numFmtId="180" fontId="18" fillId="0" borderId="10" xfId="0" applyNumberFormat="1" applyFont="1" applyFill="1" applyBorder="1" applyAlignment="1">
      <alignment horizontal="center" vertical="center"/>
    </xf>
    <xf numFmtId="0" fontId="11" fillId="0" borderId="14" xfId="0" applyFont="1" applyFill="1" applyBorder="1" applyAlignment="1"/>
    <xf numFmtId="0" fontId="19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2" fillId="0" borderId="10" xfId="52" applyFont="1" applyBorder="1" applyAlignment="1">
      <alignment horizontal="center" vertical="center" wrapText="1"/>
    </xf>
    <xf numFmtId="181" fontId="13" fillId="0" borderId="10" xfId="0" applyNumberFormat="1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181" fontId="13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0" fontId="20" fillId="2" borderId="9" xfId="0" applyFont="1" applyFill="1" applyBorder="1" applyAlignment="1">
      <alignment horizontal="center" vertical="center" wrapText="1"/>
    </xf>
    <xf numFmtId="181" fontId="13" fillId="0" borderId="9" xfId="0" applyNumberFormat="1" applyFont="1" applyFill="1" applyBorder="1" applyAlignment="1">
      <alignment horizontal="center" vertical="center"/>
    </xf>
    <xf numFmtId="0" fontId="16" fillId="0" borderId="9" xfId="0" applyNumberFormat="1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7" fillId="0" borderId="9" xfId="0" applyNumberFormat="1" applyFont="1" applyFill="1" applyBorder="1" applyAlignment="1">
      <alignment horizontal="center"/>
    </xf>
    <xf numFmtId="182" fontId="18" fillId="0" borderId="17" xfId="0" applyNumberFormat="1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/>
    </xf>
    <xf numFmtId="182" fontId="18" fillId="0" borderId="20" xfId="0" applyNumberFormat="1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182" fontId="8" fillId="0" borderId="24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182" fontId="23" fillId="0" borderId="17" xfId="0" applyNumberFormat="1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182" fontId="11" fillId="0" borderId="29" xfId="0" applyNumberFormat="1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/>
    </xf>
    <xf numFmtId="0" fontId="26" fillId="4" borderId="30" xfId="0" applyFont="1" applyFill="1" applyBorder="1" applyAlignment="1">
      <alignment horizontal="left" vertical="center"/>
    </xf>
    <xf numFmtId="0" fontId="26" fillId="4" borderId="31" xfId="0" applyFont="1" applyFill="1" applyBorder="1" applyAlignment="1">
      <alignment horizontal="left" vertical="center"/>
    </xf>
    <xf numFmtId="0" fontId="26" fillId="4" borderId="31" xfId="0" applyFont="1" applyFill="1" applyBorder="1" applyAlignment="1">
      <alignment vertical="center"/>
    </xf>
    <xf numFmtId="31" fontId="26" fillId="4" borderId="31" xfId="0" applyNumberFormat="1" applyFont="1" applyFill="1" applyBorder="1" applyAlignment="1">
      <alignment horizontal="right" vertical="center"/>
    </xf>
    <xf numFmtId="31" fontId="26" fillId="4" borderId="31" xfId="0" applyNumberFormat="1" applyFont="1" applyFill="1" applyBorder="1" applyAlignment="1">
      <alignment horizontal="left" vertical="center"/>
    </xf>
    <xf numFmtId="31" fontId="26" fillId="4" borderId="32" xfId="0" applyNumberFormat="1" applyFont="1" applyFill="1" applyBorder="1" applyAlignment="1">
      <alignment horizontal="left" vertical="center"/>
    </xf>
    <xf numFmtId="0" fontId="26" fillId="0" borderId="10" xfId="0" applyFont="1" applyFill="1" applyBorder="1" applyAlignment="1">
      <alignment vertical="center"/>
    </xf>
    <xf numFmtId="0" fontId="26" fillId="0" borderId="30" xfId="0" applyFont="1" applyFill="1" applyBorder="1" applyAlignment="1">
      <alignment horizontal="left" vertical="center"/>
    </xf>
    <xf numFmtId="0" fontId="26" fillId="0" borderId="31" xfId="0" applyFont="1" applyFill="1" applyBorder="1" applyAlignment="1">
      <alignment horizontal="left" vertical="center"/>
    </xf>
    <xf numFmtId="0" fontId="26" fillId="0" borderId="32" xfId="0" applyFont="1" applyFill="1" applyBorder="1" applyAlignment="1">
      <alignment horizontal="left" vertical="center"/>
    </xf>
    <xf numFmtId="0" fontId="26" fillId="0" borderId="30" xfId="0" applyFont="1" applyFill="1" applyBorder="1" applyAlignment="1">
      <alignment horizontal="center" vertical="center"/>
    </xf>
    <xf numFmtId="0" fontId="26" fillId="0" borderId="31" xfId="0" applyFont="1" applyFill="1" applyBorder="1" applyAlignment="1">
      <alignment horizontal="center" vertical="center"/>
    </xf>
    <xf numFmtId="0" fontId="26" fillId="0" borderId="3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left" vertical="center"/>
    </xf>
    <xf numFmtId="0" fontId="26" fillId="0" borderId="31" xfId="0" applyFont="1" applyFill="1" applyBorder="1" applyAlignment="1">
      <alignment vertical="center"/>
    </xf>
    <xf numFmtId="0" fontId="26" fillId="0" borderId="10" xfId="0" applyFont="1" applyFill="1" applyBorder="1" applyAlignment="1">
      <alignment horizontal="center" vertical="center" wrapText="1"/>
    </xf>
    <xf numFmtId="49" fontId="27" fillId="5" borderId="10" xfId="0" applyNumberFormat="1" applyFont="1" applyFill="1" applyBorder="1" applyAlignment="1">
      <alignment horizontal="center" vertical="center" wrapText="1"/>
    </xf>
    <xf numFmtId="49" fontId="28" fillId="5" borderId="10" xfId="0" applyNumberFormat="1" applyFont="1" applyFill="1" applyBorder="1" applyAlignment="1">
      <alignment horizontal="left" vertical="top" wrapText="1"/>
    </xf>
    <xf numFmtId="7" fontId="26" fillId="0" borderId="10" xfId="0" applyNumberFormat="1" applyFont="1" applyFill="1" applyBorder="1" applyAlignment="1">
      <alignment horizontal="center" vertical="center"/>
    </xf>
    <xf numFmtId="7" fontId="26" fillId="0" borderId="9" xfId="0" applyNumberFormat="1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9" fillId="0" borderId="30" xfId="0" applyFont="1" applyFill="1" applyBorder="1" applyAlignment="1">
      <alignment horizontal="left" vertical="center" wrapText="1"/>
    </xf>
    <xf numFmtId="0" fontId="26" fillId="0" borderId="31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left" vertical="center" wrapText="1"/>
    </xf>
    <xf numFmtId="0" fontId="26" fillId="0" borderId="25" xfId="0" applyFont="1" applyFill="1" applyBorder="1" applyAlignment="1">
      <alignment horizontal="left" vertical="center"/>
    </xf>
    <xf numFmtId="0" fontId="26" fillId="0" borderId="22" xfId="0" applyFont="1" applyFill="1" applyBorder="1" applyAlignment="1">
      <alignment horizontal="left" vertical="center"/>
    </xf>
    <xf numFmtId="0" fontId="26" fillId="0" borderId="23" xfId="0" applyFont="1" applyFill="1" applyBorder="1" applyAlignment="1">
      <alignment horizontal="left" vertical="center"/>
    </xf>
    <xf numFmtId="0" fontId="26" fillId="0" borderId="35" xfId="0" applyFont="1" applyFill="1" applyBorder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26" fillId="0" borderId="35" xfId="0" applyFont="1" applyFill="1" applyBorder="1" applyAlignment="1">
      <alignment horizontal="left" vertical="center"/>
    </xf>
    <xf numFmtId="0" fontId="30" fillId="0" borderId="10" xfId="0" applyFont="1" applyFill="1" applyBorder="1" applyAlignment="1">
      <alignment vertical="center"/>
    </xf>
    <xf numFmtId="38" fontId="26" fillId="0" borderId="13" xfId="51" applyNumberFormat="1" applyFont="1" applyBorder="1" applyAlignment="1">
      <alignment horizontal="left" vertical="center"/>
    </xf>
    <xf numFmtId="0" fontId="26" fillId="0" borderId="13" xfId="0" applyFont="1" applyFill="1" applyBorder="1" applyAlignment="1">
      <alignment horizontal="left" vertical="center"/>
    </xf>
    <xf numFmtId="0" fontId="26" fillId="0" borderId="33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left" vertical="center"/>
    </xf>
    <xf numFmtId="0" fontId="26" fillId="0" borderId="34" xfId="0" applyFont="1" applyFill="1" applyBorder="1" applyAlignment="1">
      <alignment horizontal="left" vertical="center"/>
    </xf>
    <xf numFmtId="38" fontId="26" fillId="0" borderId="10" xfId="51" applyNumberFormat="1" applyFont="1" applyBorder="1" applyAlignment="1">
      <alignment horizontal="left" vertical="center"/>
    </xf>
    <xf numFmtId="0" fontId="31" fillId="0" borderId="10" xfId="0" applyFont="1" applyFill="1" applyBorder="1" applyAlignment="1">
      <alignment horizontal="left" vertical="center"/>
    </xf>
    <xf numFmtId="0" fontId="31" fillId="0" borderId="0" xfId="0" applyFont="1" applyFill="1" applyAlignment="1">
      <alignment horizontal="left" vertical="center"/>
    </xf>
    <xf numFmtId="0" fontId="32" fillId="0" borderId="25" xfId="0" applyFont="1" applyFill="1" applyBorder="1" applyAlignment="1">
      <alignment horizontal="left" vertical="center"/>
    </xf>
    <xf numFmtId="0" fontId="32" fillId="0" borderId="22" xfId="0" applyNumberFormat="1" applyFont="1" applyFill="1" applyBorder="1" applyAlignment="1">
      <alignment horizontal="justify" vertical="center"/>
    </xf>
    <xf numFmtId="0" fontId="32" fillId="0" borderId="23" xfId="0" applyNumberFormat="1" applyFont="1" applyFill="1" applyBorder="1" applyAlignment="1">
      <alignment horizontal="justify" vertical="center"/>
    </xf>
    <xf numFmtId="0" fontId="26" fillId="0" borderId="0" xfId="0" applyFont="1" applyAlignment="1">
      <alignment vertical="center"/>
    </xf>
    <xf numFmtId="0" fontId="32" fillId="0" borderId="22" xfId="0" applyFont="1" applyFill="1" applyBorder="1" applyAlignment="1">
      <alignment horizontal="left" vertical="center"/>
    </xf>
    <xf numFmtId="0" fontId="32" fillId="0" borderId="23" xfId="0" applyFont="1" applyFill="1" applyBorder="1" applyAlignment="1">
      <alignment horizontal="left" vertical="center"/>
    </xf>
    <xf numFmtId="0" fontId="32" fillId="0" borderId="35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12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left" vertical="center"/>
    </xf>
    <xf numFmtId="0" fontId="32" fillId="0" borderId="12" xfId="0" applyFont="1" applyFill="1" applyBorder="1" applyAlignment="1">
      <alignment horizontal="left" vertical="center"/>
    </xf>
    <xf numFmtId="0" fontId="32" fillId="0" borderId="35" xfId="0" applyFont="1" applyFill="1" applyBorder="1" applyAlignment="1">
      <alignment vertical="center"/>
    </xf>
    <xf numFmtId="0" fontId="32" fillId="0" borderId="0" xfId="0" applyFont="1" applyFill="1" applyBorder="1" applyAlignment="1">
      <alignment vertical="center"/>
    </xf>
    <xf numFmtId="183" fontId="32" fillId="0" borderId="33" xfId="0" applyNumberFormat="1" applyFont="1" applyFill="1" applyBorder="1" applyAlignment="1">
      <alignment vertical="center"/>
    </xf>
    <xf numFmtId="0" fontId="32" fillId="0" borderId="1" xfId="0" applyFont="1" applyFill="1" applyBorder="1" applyAlignment="1">
      <alignment vertical="center"/>
    </xf>
    <xf numFmtId="0" fontId="32" fillId="0" borderId="34" xfId="0" applyFont="1" applyFill="1" applyBorder="1" applyAlignment="1">
      <alignment vertical="center"/>
    </xf>
    <xf numFmtId="0" fontId="32" fillId="0" borderId="33" xfId="0" applyFont="1" applyFill="1" applyBorder="1" applyAlignment="1">
      <alignment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34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81" fontId="34" fillId="0" borderId="0" xfId="0" applyNumberFormat="1" applyFont="1" applyAlignment="1">
      <alignment horizontal="center" vertical="center"/>
    </xf>
    <xf numFmtId="184" fontId="34" fillId="0" borderId="0" xfId="0" applyNumberFormat="1" applyFont="1" applyAlignment="1">
      <alignment horizontal="center" vertical="center"/>
    </xf>
    <xf numFmtId="181" fontId="33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81" fontId="35" fillId="0" borderId="0" xfId="0" applyNumberFormat="1" applyFont="1" applyAlignment="1">
      <alignment horizontal="center" vertical="center"/>
    </xf>
    <xf numFmtId="184" fontId="3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81" fontId="37" fillId="0" borderId="0" xfId="0" applyNumberFormat="1" applyFont="1" applyAlignment="1">
      <alignment horizontal="center" vertical="center"/>
    </xf>
    <xf numFmtId="184" fontId="37" fillId="0" borderId="0" xfId="0" applyNumberFormat="1" applyFont="1" applyAlignment="1">
      <alignment horizontal="center" vertical="center"/>
    </xf>
    <xf numFmtId="181" fontId="36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38" fillId="0" borderId="0" xfId="0" applyFont="1" applyFill="1" applyAlignment="1">
      <alignment horizontal="center" vertical="center"/>
    </xf>
    <xf numFmtId="181" fontId="39" fillId="0" borderId="0" xfId="0" applyNumberFormat="1" applyFont="1" applyFill="1" applyAlignment="1">
      <alignment horizontal="center" vertical="center" wrapText="1"/>
    </xf>
    <xf numFmtId="184" fontId="39" fillId="0" borderId="0" xfId="0" applyNumberFormat="1" applyFont="1" applyFill="1" applyAlignment="1">
      <alignment horizontal="center" vertical="center"/>
    </xf>
    <xf numFmtId="181" fontId="38" fillId="0" borderId="0" xfId="0" applyNumberFormat="1" applyFont="1" applyFill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181" fontId="35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0" fillId="0" borderId="30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40" fillId="0" borderId="30" xfId="0" applyFont="1" applyBorder="1" applyAlignment="1">
      <alignment vertical="center"/>
    </xf>
    <xf numFmtId="181" fontId="21" fillId="0" borderId="10" xfId="0" applyNumberFormat="1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0" fillId="0" borderId="30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0" fillId="0" borderId="30" xfId="0" applyFont="1" applyBorder="1" applyAlignment="1">
      <alignment vertical="center" wrapText="1"/>
    </xf>
    <xf numFmtId="181" fontId="21" fillId="0" borderId="10" xfId="0" applyNumberFormat="1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184" fontId="21" fillId="0" borderId="30" xfId="0" applyNumberFormat="1" applyFont="1" applyBorder="1" applyAlignment="1">
      <alignment horizontal="left" vertical="center" wrapText="1"/>
    </xf>
    <xf numFmtId="184" fontId="21" fillId="0" borderId="31" xfId="0" applyNumberFormat="1" applyFont="1" applyBorder="1" applyAlignment="1">
      <alignment horizontal="left" vertical="center" wrapText="1"/>
    </xf>
    <xf numFmtId="184" fontId="21" fillId="0" borderId="32" xfId="0" applyNumberFormat="1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42" fillId="0" borderId="10" xfId="0" applyFont="1" applyFill="1" applyBorder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0" fontId="13" fillId="0" borderId="10" xfId="0" applyFont="1" applyBorder="1" applyAlignment="1">
      <alignment vertical="center" wrapText="1"/>
    </xf>
    <xf numFmtId="0" fontId="43" fillId="4" borderId="9" xfId="0" applyFont="1" applyFill="1" applyBorder="1" applyAlignment="1">
      <alignment horizontal="center" vertical="center" wrapText="1"/>
    </xf>
    <xf numFmtId="184" fontId="0" fillId="0" borderId="10" xfId="0" applyNumberFormat="1" applyBorder="1" applyAlignment="1">
      <alignment horizontal="center" vertical="center"/>
    </xf>
    <xf numFmtId="181" fontId="44" fillId="0" borderId="10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81" fontId="44" fillId="6" borderId="32" xfId="0" applyNumberFormat="1" applyFont="1" applyFill="1" applyBorder="1" applyAlignment="1">
      <alignment horizontal="center" vertical="center"/>
    </xf>
    <xf numFmtId="0" fontId="45" fillId="0" borderId="30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81" fontId="25" fillId="0" borderId="30" xfId="0" applyNumberFormat="1" applyFont="1" applyBorder="1" applyAlignment="1">
      <alignment horizontal="center" vertical="center"/>
    </xf>
    <xf numFmtId="181" fontId="25" fillId="0" borderId="32" xfId="0" applyNumberFormat="1" applyFont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 wrapText="1"/>
    </xf>
    <xf numFmtId="0" fontId="42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30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0" xfId="0" applyFont="1" applyFill="1" applyAlignment="1">
      <alignment vertical="center" wrapText="1"/>
    </xf>
    <xf numFmtId="0" fontId="20" fillId="0" borderId="30" xfId="49" applyFont="1" applyBorder="1" applyAlignment="1">
      <alignment horizontal="left" vertical="center"/>
    </xf>
    <xf numFmtId="0" fontId="20" fillId="0" borderId="31" xfId="49" applyFont="1" applyBorder="1" applyAlignment="1">
      <alignment horizontal="left" vertical="center"/>
    </xf>
    <xf numFmtId="0" fontId="20" fillId="0" borderId="32" xfId="49" applyFont="1" applyBorder="1" applyAlignment="1">
      <alignment horizontal="left" vertical="center"/>
    </xf>
    <xf numFmtId="0" fontId="47" fillId="0" borderId="10" xfId="0" applyFont="1" applyFill="1" applyBorder="1" applyAlignment="1">
      <alignment horizontal="left" vertical="center"/>
    </xf>
    <xf numFmtId="0" fontId="20" fillId="0" borderId="0" xfId="49" applyFont="1" applyAlignment="1">
      <alignment vertical="center"/>
    </xf>
    <xf numFmtId="181" fontId="13" fillId="0" borderId="0" xfId="0" applyNumberFormat="1" applyFont="1" applyFill="1" applyAlignment="1">
      <alignment horizontal="center" vertical="center" wrapText="1"/>
    </xf>
    <xf numFmtId="0" fontId="48" fillId="0" borderId="0" xfId="0" applyFont="1" applyFill="1" applyAlignment="1" applyProtection="1">
      <alignment horizontal="center" vertical="center"/>
      <protection locked="0"/>
    </xf>
    <xf numFmtId="0" fontId="48" fillId="0" borderId="10" xfId="0" applyFont="1" applyFill="1" applyBorder="1" applyAlignment="1" applyProtection="1">
      <alignment horizontal="center" vertical="center" wrapText="1"/>
      <protection locked="0"/>
    </xf>
    <xf numFmtId="0" fontId="0" fillId="0" borderId="30" xfId="0" applyFont="1" applyBorder="1" applyAlignment="1" quotePrefix="1">
      <alignment horizontal="left" vertical="center"/>
    </xf>
    <xf numFmtId="181" fontId="21" fillId="0" borderId="10" xfId="0" applyNumberFormat="1" applyFont="1" applyBorder="1" applyAlignment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_Portland Group PI" xfId="50"/>
    <cellStyle name="千位分隔[0] 2" xfId="51"/>
    <cellStyle name="常规_60221" xf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45720</xdr:colOff>
      <xdr:row>11</xdr:row>
      <xdr:rowOff>0</xdr:rowOff>
    </xdr:from>
    <xdr:to>
      <xdr:col>2</xdr:col>
      <xdr:colOff>568325</xdr:colOff>
      <xdr:row>11</xdr:row>
      <xdr:rowOff>522605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00" y="3439160"/>
          <a:ext cx="52260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930910</xdr:colOff>
      <xdr:row>32</xdr:row>
      <xdr:rowOff>245110</xdr:rowOff>
    </xdr:from>
    <xdr:to>
      <xdr:col>3</xdr:col>
      <xdr:colOff>197485</xdr:colOff>
      <xdr:row>38</xdr:row>
      <xdr:rowOff>52705</xdr:rowOff>
    </xdr:to>
    <xdr:pic>
      <xdr:nvPicPr>
        <xdr:cNvPr id="3" name="图片 1"/>
        <xdr:cNvPicPr>
          <a:picLocks noChangeAspect="1"/>
        </xdr:cNvPicPr>
      </xdr:nvPicPr>
      <xdr:blipFill>
        <a:blip r:embed="rId2" cstate="print">
          <a:clrChange>
            <a:clrFrom>
              <a:srgbClr val="FCFAFF"/>
            </a:clrFrom>
            <a:clrTo>
              <a:srgbClr val="FCFAFF">
                <a:alpha val="0"/>
              </a:srgbClr>
            </a:clrTo>
          </a:clrChange>
        </a:blip>
        <a:stretch>
          <a:fillRect/>
        </a:stretch>
      </xdr:blipFill>
      <xdr:spPr>
        <a:xfrm>
          <a:off x="930910" y="13590270"/>
          <a:ext cx="2124075" cy="1392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183515</xdr:colOff>
      <xdr:row>19</xdr:row>
      <xdr:rowOff>259715</xdr:rowOff>
    </xdr:from>
    <xdr:to>
      <xdr:col>6</xdr:col>
      <xdr:colOff>813435</xdr:colOff>
      <xdr:row>20</xdr:row>
      <xdr:rowOff>347345</xdr:rowOff>
    </xdr:to>
    <xdr:pic>
      <xdr:nvPicPr>
        <xdr:cNvPr id="4" name="Obraz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1015" y="8270875"/>
          <a:ext cx="629920" cy="659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156210</xdr:colOff>
      <xdr:row>9</xdr:row>
      <xdr:rowOff>92710</xdr:rowOff>
    </xdr:from>
    <xdr:to>
      <xdr:col>0</xdr:col>
      <xdr:colOff>1169670</xdr:colOff>
      <xdr:row>9</xdr:row>
      <xdr:rowOff>1527810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210" y="2142490"/>
          <a:ext cx="1013460" cy="143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116840</xdr:colOff>
      <xdr:row>10</xdr:row>
      <xdr:rowOff>76200</xdr:rowOff>
    </xdr:from>
    <xdr:to>
      <xdr:col>0</xdr:col>
      <xdr:colOff>1283335</xdr:colOff>
      <xdr:row>10</xdr:row>
      <xdr:rowOff>1727200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3771900"/>
          <a:ext cx="1166495" cy="1651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7620</xdr:colOff>
      <xdr:row>25</xdr:row>
      <xdr:rowOff>274320</xdr:rowOff>
    </xdr:from>
    <xdr:to>
      <xdr:col>6</xdr:col>
      <xdr:colOff>624205</xdr:colOff>
      <xdr:row>35</xdr:row>
      <xdr:rowOff>161925</xdr:rowOff>
    </xdr:to>
    <xdr:pic>
      <xdr:nvPicPr>
        <xdr:cNvPr id="2" name="图片 1" descr="电子章报关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300000">
          <a:off x="4998720" y="9686290"/>
          <a:ext cx="3146425" cy="1990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8"/>
  <sheetViews>
    <sheetView zoomScale="145" zoomScaleNormal="145" workbookViewId="0">
      <selection activeCell="A22" sqref="A22:I22"/>
    </sheetView>
  </sheetViews>
  <sheetFormatPr defaultColWidth="9" defaultRowHeight="14.4"/>
  <cols>
    <col min="1" max="1" width="18.8888888888889" customWidth="1"/>
    <col min="2" max="2" width="13.7777777777778" customWidth="1"/>
    <col min="4" max="4" width="22.2222222222222" customWidth="1"/>
    <col min="5" max="5" width="15" customWidth="1"/>
    <col min="6" max="6" width="18.3333333333333" customWidth="1"/>
    <col min="7" max="7" width="15.3333333333333" customWidth="1"/>
    <col min="10" max="10" width="16.2222222222222" customWidth="1"/>
    <col min="11" max="11" width="26.8888888888889" customWidth="1"/>
  </cols>
  <sheetData>
    <row r="1" ht="34" customHeight="1" spans="1:11">
      <c r="A1" s="154" t="s">
        <v>0</v>
      </c>
      <c r="B1" s="154"/>
      <c r="C1" s="154"/>
      <c r="D1" s="154"/>
      <c r="E1" s="154"/>
      <c r="F1" s="154"/>
      <c r="G1" s="154"/>
      <c r="H1" s="155"/>
      <c r="I1" s="156"/>
      <c r="J1" s="157"/>
    </row>
    <row r="2" spans="1:11">
      <c r="A2" s="158" t="s">
        <v>1</v>
      </c>
      <c r="B2" s="158"/>
      <c r="C2" s="158"/>
      <c r="D2" s="158"/>
      <c r="E2" s="158"/>
      <c r="F2" s="158"/>
      <c r="G2" s="158"/>
      <c r="H2" s="159"/>
      <c r="I2" s="160"/>
      <c r="J2" s="159"/>
    </row>
    <row r="3" ht="21" spans="1:11">
      <c r="A3" s="161" t="s">
        <v>2</v>
      </c>
      <c r="B3" s="161"/>
      <c r="C3" s="161"/>
      <c r="D3" s="161"/>
      <c r="E3" s="161"/>
      <c r="F3" s="161"/>
      <c r="G3" s="161"/>
      <c r="H3" s="162"/>
      <c r="I3" s="163"/>
      <c r="J3" s="164"/>
    </row>
    <row r="4" ht="15.6" spans="1:11">
      <c r="A4" s="165"/>
      <c r="B4" s="165"/>
      <c r="C4" s="166"/>
      <c r="D4" s="166"/>
      <c r="E4" s="166"/>
      <c r="F4" s="166"/>
      <c r="G4" s="166"/>
      <c r="H4" s="167"/>
      <c r="I4" s="168"/>
      <c r="J4" s="169"/>
    </row>
    <row r="5" spans="1:11">
      <c r="A5" s="170" t="s">
        <v>3</v>
      </c>
      <c r="B5" s="170"/>
      <c r="C5" s="170"/>
      <c r="D5" s="170"/>
      <c r="E5" s="170"/>
      <c r="F5" s="171" t="s">
        <v>4</v>
      </c>
      <c r="G5" s="171"/>
      <c r="H5" s="171"/>
      <c r="I5" s="171"/>
      <c r="J5" s="171"/>
    </row>
    <row r="6" ht="15.6" spans="1:11">
      <c r="A6" s="172" t="s">
        <v>5</v>
      </c>
      <c r="B6" s="173" t="s">
        <v>6</v>
      </c>
      <c r="C6" s="174"/>
      <c r="D6" s="174"/>
      <c r="E6" s="175"/>
      <c r="F6" s="176" t="s">
        <v>7</v>
      </c>
      <c r="G6" s="177" t="s">
        <v>8</v>
      </c>
      <c r="H6" s="177"/>
      <c r="I6" s="177"/>
      <c r="J6" s="177"/>
      <c r="K6" s="178" t="s">
        <v>9</v>
      </c>
    </row>
    <row r="7" ht="15.6" spans="1:11">
      <c r="A7" s="172" t="s">
        <v>10</v>
      </c>
      <c r="B7" s="230" t="s">
        <v>11</v>
      </c>
      <c r="C7" s="174"/>
      <c r="D7" s="174"/>
      <c r="E7" s="175"/>
      <c r="F7" s="176" t="s">
        <v>12</v>
      </c>
      <c r="G7" s="231" t="s">
        <v>13</v>
      </c>
      <c r="H7" s="177"/>
      <c r="I7" s="177"/>
      <c r="J7" s="177"/>
      <c r="K7" s="178"/>
    </row>
    <row r="8" ht="65" customHeight="1" spans="1:11">
      <c r="A8" s="172" t="s">
        <v>14</v>
      </c>
      <c r="B8" s="179" t="s">
        <v>15</v>
      </c>
      <c r="C8" s="180"/>
      <c r="D8" s="180"/>
      <c r="E8" s="181"/>
      <c r="F8" s="182" t="s">
        <v>14</v>
      </c>
      <c r="G8" s="183" t="s">
        <v>16</v>
      </c>
      <c r="H8" s="183"/>
      <c r="I8" s="183"/>
      <c r="J8" s="183"/>
      <c r="K8" s="178"/>
    </row>
    <row r="9" ht="32" customHeight="1" spans="1:11">
      <c r="A9" s="184" t="s">
        <v>17</v>
      </c>
      <c r="B9" s="179" t="s">
        <v>18</v>
      </c>
      <c r="C9" s="180"/>
      <c r="D9" s="180"/>
      <c r="E9" s="181"/>
      <c r="F9" s="184" t="s">
        <v>19</v>
      </c>
      <c r="G9" s="185" t="s">
        <v>20</v>
      </c>
      <c r="H9" s="186"/>
      <c r="I9" s="186"/>
      <c r="J9" s="187"/>
    </row>
    <row r="10" spans="1:11">
      <c r="A10" s="188"/>
      <c r="B10" s="188"/>
      <c r="C10" s="188"/>
      <c r="D10" s="188"/>
      <c r="E10" s="188"/>
      <c r="F10" s="188"/>
      <c r="G10" s="188"/>
      <c r="H10" s="188"/>
      <c r="I10" s="188"/>
      <c r="J10" s="188"/>
    </row>
    <row r="11" ht="28.8" spans="1:11">
      <c r="A11" s="189" t="s">
        <v>21</v>
      </c>
      <c r="B11" s="189" t="s">
        <v>22</v>
      </c>
      <c r="C11" s="189" t="s">
        <v>23</v>
      </c>
      <c r="D11" s="189" t="s">
        <v>24</v>
      </c>
      <c r="E11" s="189" t="s">
        <v>25</v>
      </c>
      <c r="F11" s="189" t="s">
        <v>26</v>
      </c>
      <c r="G11" s="189" t="s">
        <v>27</v>
      </c>
      <c r="H11" s="189" t="s">
        <v>28</v>
      </c>
      <c r="I11" s="190" t="s">
        <v>29</v>
      </c>
      <c r="J11" s="189" t="s">
        <v>30</v>
      </c>
    </row>
    <row r="12" ht="45" customHeight="1" spans="1:11">
      <c r="A12" s="189" t="s">
        <v>31</v>
      </c>
      <c r="B12" s="189">
        <v>2821</v>
      </c>
      <c r="C12" s="189"/>
      <c r="D12" s="191" t="s">
        <v>32</v>
      </c>
      <c r="E12" s="189" t="s">
        <v>33</v>
      </c>
      <c r="F12" s="192" t="s">
        <v>34</v>
      </c>
      <c r="G12" s="189" t="s">
        <v>35</v>
      </c>
      <c r="H12" s="189">
        <v>100</v>
      </c>
      <c r="I12" s="193">
        <v>21.5</v>
      </c>
      <c r="J12" s="193">
        <f t="shared" ref="J12:J17" si="0">I12*H12</f>
        <v>2150</v>
      </c>
    </row>
    <row r="13" ht="45" customHeight="1" spans="1:11">
      <c r="A13" s="189" t="s">
        <v>31</v>
      </c>
      <c r="B13" s="189">
        <v>2822</v>
      </c>
      <c r="C13" s="189"/>
      <c r="D13" s="191" t="s">
        <v>32</v>
      </c>
      <c r="E13" s="189" t="s">
        <v>33</v>
      </c>
      <c r="F13" s="192" t="s">
        <v>34</v>
      </c>
      <c r="G13" s="189" t="s">
        <v>36</v>
      </c>
      <c r="H13" s="189">
        <v>120</v>
      </c>
      <c r="I13" s="193">
        <v>21.5</v>
      </c>
      <c r="J13" s="193">
        <f t="shared" si="0"/>
        <v>2580</v>
      </c>
    </row>
    <row r="14" ht="45" customHeight="1" spans="1:11">
      <c r="A14" s="189" t="s">
        <v>31</v>
      </c>
      <c r="B14" s="189">
        <v>2823</v>
      </c>
      <c r="C14" s="189"/>
      <c r="D14" s="191" t="s">
        <v>32</v>
      </c>
      <c r="E14" s="189" t="s">
        <v>33</v>
      </c>
      <c r="F14" s="192" t="s">
        <v>34</v>
      </c>
      <c r="G14" s="190" t="s">
        <v>37</v>
      </c>
      <c r="H14" s="189">
        <v>150</v>
      </c>
      <c r="I14" s="193">
        <v>21.5</v>
      </c>
      <c r="J14" s="193">
        <f t="shared" si="0"/>
        <v>3225</v>
      </c>
    </row>
    <row r="15" ht="45" customHeight="1" spans="1:11">
      <c r="A15" s="194" t="s">
        <v>38</v>
      </c>
      <c r="B15" s="195">
        <v>2824</v>
      </c>
      <c r="C15" s="189"/>
      <c r="D15" s="191" t="s">
        <v>39</v>
      </c>
      <c r="E15" s="189" t="s">
        <v>40</v>
      </c>
      <c r="F15" s="192" t="s">
        <v>34</v>
      </c>
      <c r="G15" s="189" t="s">
        <v>35</v>
      </c>
      <c r="H15" s="189">
        <v>100</v>
      </c>
      <c r="I15" s="193">
        <v>23.8</v>
      </c>
      <c r="J15" s="193">
        <f t="shared" si="0"/>
        <v>2380</v>
      </c>
    </row>
    <row r="16" ht="45" customHeight="1" spans="1:11">
      <c r="A16" s="194" t="s">
        <v>38</v>
      </c>
      <c r="B16" s="195">
        <v>2825</v>
      </c>
      <c r="C16" s="189"/>
      <c r="D16" s="191" t="s">
        <v>39</v>
      </c>
      <c r="E16" s="189" t="s">
        <v>40</v>
      </c>
      <c r="F16" s="192" t="s">
        <v>34</v>
      </c>
      <c r="G16" s="189" t="s">
        <v>36</v>
      </c>
      <c r="H16" s="189">
        <v>200</v>
      </c>
      <c r="I16" s="193">
        <v>23.8</v>
      </c>
      <c r="J16" s="193">
        <f t="shared" si="0"/>
        <v>4760</v>
      </c>
    </row>
    <row r="17" ht="45" customHeight="1" spans="1:11">
      <c r="A17" s="194" t="s">
        <v>38</v>
      </c>
      <c r="B17" s="195">
        <v>2826</v>
      </c>
      <c r="C17" s="189"/>
      <c r="D17" s="191" t="s">
        <v>39</v>
      </c>
      <c r="E17" s="189" t="s">
        <v>40</v>
      </c>
      <c r="F17" s="192" t="s">
        <v>34</v>
      </c>
      <c r="G17" s="190" t="s">
        <v>37</v>
      </c>
      <c r="H17" s="189">
        <v>300</v>
      </c>
      <c r="I17" s="193">
        <v>23.8</v>
      </c>
      <c r="J17" s="193">
        <f t="shared" si="0"/>
        <v>7140</v>
      </c>
    </row>
    <row r="18" ht="45" customHeight="1" spans="1:11">
      <c r="A18" s="189"/>
      <c r="B18" s="189"/>
      <c r="C18" s="189"/>
      <c r="D18" s="189"/>
      <c r="E18" s="189"/>
      <c r="F18" s="189"/>
      <c r="G18" s="189"/>
      <c r="H18" s="193" t="s">
        <v>41</v>
      </c>
      <c r="I18" s="189"/>
      <c r="J18" s="193"/>
    </row>
    <row r="19" ht="45" customHeight="1" spans="1:11">
      <c r="A19" s="189"/>
      <c r="B19" s="189"/>
      <c r="C19" s="189"/>
      <c r="D19" s="189"/>
      <c r="E19" s="189"/>
      <c r="F19" s="189"/>
      <c r="G19" s="189"/>
      <c r="H19" s="193" t="s">
        <v>41</v>
      </c>
      <c r="I19" s="189"/>
      <c r="J19" s="193"/>
    </row>
    <row r="20" ht="45" customHeight="1" spans="1:11">
      <c r="A20" s="189" t="s">
        <v>42</v>
      </c>
      <c r="B20" s="189"/>
      <c r="C20" s="189"/>
      <c r="D20" s="189" t="s">
        <v>41</v>
      </c>
      <c r="E20" s="189" t="s">
        <v>41</v>
      </c>
      <c r="F20" s="189" t="s">
        <v>41</v>
      </c>
      <c r="G20" s="189" t="s">
        <v>41</v>
      </c>
      <c r="H20" s="196">
        <v>2</v>
      </c>
      <c r="I20" s="193">
        <v>5</v>
      </c>
      <c r="J20" s="197">
        <v>0</v>
      </c>
    </row>
    <row r="21" ht="45" customHeight="1" spans="1:11">
      <c r="A21" s="189" t="s">
        <v>43</v>
      </c>
      <c r="B21" s="189"/>
      <c r="C21" s="189"/>
      <c r="D21" s="189"/>
      <c r="E21" s="189"/>
      <c r="F21" s="189"/>
      <c r="G21" s="189"/>
      <c r="H21" s="196">
        <v>10</v>
      </c>
      <c r="I21" s="193">
        <v>65</v>
      </c>
      <c r="J21" s="197">
        <v>0</v>
      </c>
    </row>
    <row r="22" ht="45" customHeight="1" spans="1:11">
      <c r="A22" s="198" t="s">
        <v>44</v>
      </c>
      <c r="B22" s="199"/>
      <c r="C22" s="199"/>
      <c r="D22" s="199"/>
      <c r="E22" s="199"/>
      <c r="F22" s="199"/>
      <c r="G22" s="199"/>
      <c r="H22" s="199"/>
      <c r="I22" s="199"/>
      <c r="J22" s="200">
        <v>35</v>
      </c>
    </row>
    <row r="23" ht="45" customHeight="1" spans="1:11">
      <c r="A23" s="201" t="s">
        <v>45</v>
      </c>
      <c r="B23" s="202"/>
      <c r="C23" s="202"/>
      <c r="D23" s="202"/>
      <c r="E23" s="202"/>
      <c r="F23" s="202"/>
      <c r="G23" s="202"/>
      <c r="H23" s="203">
        <f>SUM(H12:H21)</f>
        <v>982</v>
      </c>
      <c r="I23" s="204">
        <f>SUM(J12:J21)-J22</f>
        <v>22200</v>
      </c>
      <c r="J23" s="205"/>
    </row>
    <row r="24" ht="26" customHeight="1" spans="1:11">
      <c r="A24" s="206" t="s">
        <v>46</v>
      </c>
      <c r="B24" s="207"/>
      <c r="C24" s="207"/>
      <c r="D24" s="207"/>
      <c r="E24" s="207"/>
      <c r="F24" s="207"/>
      <c r="G24" s="207"/>
      <c r="H24" s="207"/>
      <c r="I24" s="207"/>
      <c r="J24" s="207"/>
    </row>
    <row r="25" ht="31" customHeight="1" spans="1:11">
      <c r="A25" s="208" t="s">
        <v>47</v>
      </c>
      <c r="B25" s="208"/>
      <c r="C25" s="208"/>
      <c r="D25" s="208"/>
      <c r="E25" s="209" t="s">
        <v>48</v>
      </c>
      <c r="F25" s="209"/>
      <c r="G25" s="209"/>
      <c r="H25" s="209"/>
      <c r="I25" s="209"/>
      <c r="J25" s="210"/>
    </row>
    <row r="26" ht="24" customHeight="1" spans="1:11">
      <c r="A26" s="211" t="s">
        <v>49</v>
      </c>
      <c r="B26" s="211"/>
      <c r="C26" s="211"/>
      <c r="D26" s="211"/>
      <c r="E26" s="212" t="s">
        <v>50</v>
      </c>
      <c r="F26" s="213" t="s">
        <v>51</v>
      </c>
      <c r="G26" s="214"/>
      <c r="H26" s="214"/>
      <c r="I26" s="214"/>
      <c r="J26" s="215"/>
      <c r="K26" s="216"/>
    </row>
    <row r="27" ht="24" customHeight="1" spans="1:11">
      <c r="A27" s="217" t="s">
        <v>52</v>
      </c>
      <c r="B27" s="217"/>
      <c r="C27" s="217"/>
      <c r="D27" s="217"/>
      <c r="E27" s="212" t="s">
        <v>53</v>
      </c>
      <c r="F27" s="218" t="s">
        <v>54</v>
      </c>
      <c r="G27" s="219"/>
      <c r="H27" s="219"/>
      <c r="I27" s="219"/>
      <c r="J27" s="220"/>
      <c r="K27" s="221"/>
    </row>
    <row r="28" ht="39" customHeight="1" spans="1:11">
      <c r="A28" s="211" t="s">
        <v>55</v>
      </c>
      <c r="B28" s="211"/>
      <c r="C28" s="211"/>
      <c r="D28" s="211"/>
      <c r="E28" s="212" t="s">
        <v>56</v>
      </c>
      <c r="F28" s="213" t="s">
        <v>57</v>
      </c>
      <c r="G28" s="214"/>
      <c r="H28" s="214"/>
      <c r="I28" s="214"/>
      <c r="J28" s="215"/>
      <c r="K28" s="216"/>
    </row>
    <row r="29" ht="24" customHeight="1" spans="1:11">
      <c r="A29" s="217" t="s">
        <v>58</v>
      </c>
      <c r="B29" s="217"/>
      <c r="C29" s="217"/>
      <c r="D29" s="217"/>
      <c r="E29" s="212" t="s">
        <v>59</v>
      </c>
      <c r="F29" s="222" t="s">
        <v>60</v>
      </c>
      <c r="G29" s="223"/>
      <c r="H29" s="223"/>
      <c r="I29" s="223"/>
      <c r="J29" s="224"/>
      <c r="K29" s="216"/>
    </row>
    <row r="30" ht="24" customHeight="1" spans="1:11">
      <c r="A30" s="217" t="s">
        <v>61</v>
      </c>
      <c r="B30" s="217"/>
      <c r="C30" s="217"/>
      <c r="D30" s="217"/>
      <c r="E30" s="212" t="s">
        <v>62</v>
      </c>
      <c r="F30" s="222" t="s">
        <v>63</v>
      </c>
      <c r="G30" s="223"/>
      <c r="H30" s="223"/>
      <c r="I30" s="223"/>
      <c r="J30" s="224"/>
      <c r="K30" s="216"/>
    </row>
    <row r="31" ht="24" customHeight="1" spans="1:11">
      <c r="A31" s="225"/>
      <c r="B31" s="225"/>
      <c r="C31" s="225"/>
      <c r="D31" s="225"/>
      <c r="E31" s="212" t="s">
        <v>64</v>
      </c>
      <c r="F31" s="222" t="s">
        <v>65</v>
      </c>
      <c r="G31" s="223"/>
      <c r="H31" s="223"/>
      <c r="I31" s="223"/>
      <c r="J31" s="224"/>
      <c r="K31" s="226"/>
    </row>
    <row r="32" ht="24" customHeight="1"/>
    <row r="33" ht="24" customHeight="1" spans="1:10">
      <c r="A33" s="227" t="s">
        <v>66</v>
      </c>
      <c r="B33" s="227"/>
      <c r="C33" s="227"/>
      <c r="D33" s="227"/>
      <c r="G33" s="228" t="s">
        <v>67</v>
      </c>
      <c r="H33" s="228"/>
      <c r="I33" s="228"/>
      <c r="J33" s="228"/>
    </row>
    <row r="34" ht="24" customHeight="1" spans="1:10">
      <c r="A34" s="57" t="s">
        <v>68</v>
      </c>
      <c r="B34" s="57"/>
      <c r="C34" s="57"/>
      <c r="D34" s="57"/>
      <c r="G34" s="229" t="s">
        <v>69</v>
      </c>
      <c r="H34" s="229"/>
      <c r="I34" s="229"/>
      <c r="J34" s="229"/>
    </row>
    <row r="35" ht="24" customHeight="1" spans="1:10">
      <c r="A35" s="57"/>
      <c r="B35" s="57"/>
      <c r="C35" s="57"/>
      <c r="D35" s="57"/>
      <c r="G35" s="229"/>
      <c r="H35" s="229"/>
      <c r="I35" s="229"/>
      <c r="J35" s="229"/>
    </row>
    <row r="36" ht="24" customHeight="1" spans="1:10">
      <c r="A36" s="57"/>
      <c r="B36" s="57"/>
      <c r="C36" s="57"/>
      <c r="D36" s="57"/>
      <c r="G36" s="229"/>
      <c r="H36" s="229"/>
      <c r="I36" s="229"/>
      <c r="J36" s="229"/>
    </row>
    <row r="37" spans="1:10">
      <c r="A37" s="57"/>
      <c r="B37" s="57"/>
      <c r="C37" s="57"/>
      <c r="D37" s="57"/>
      <c r="G37" s="229"/>
      <c r="H37" s="229"/>
      <c r="I37" s="229"/>
      <c r="J37" s="229"/>
    </row>
    <row r="38" spans="1:10">
      <c r="A38" s="57"/>
      <c r="B38" s="57"/>
      <c r="C38" s="57"/>
      <c r="D38" s="57"/>
      <c r="G38" s="229"/>
      <c r="H38" s="229"/>
      <c r="I38" s="229"/>
      <c r="J38" s="229"/>
    </row>
  </sheetData>
  <mergeCells count="40">
    <mergeCell ref="A1:J1"/>
    <mergeCell ref="A2:J2"/>
    <mergeCell ref="A3:J3"/>
    <mergeCell ref="A4:B4"/>
    <mergeCell ref="C4:G4"/>
    <mergeCell ref="H4:J4"/>
    <mergeCell ref="A5:E5"/>
    <mergeCell ref="F5:J5"/>
    <mergeCell ref="B6:E6"/>
    <mergeCell ref="G6:J6"/>
    <mergeCell ref="B7:E7"/>
    <mergeCell ref="G7:J7"/>
    <mergeCell ref="B8:E8"/>
    <mergeCell ref="G8:J8"/>
    <mergeCell ref="B9:E9"/>
    <mergeCell ref="G9:J9"/>
    <mergeCell ref="A10:J10"/>
    <mergeCell ref="A22:I22"/>
    <mergeCell ref="A23:G23"/>
    <mergeCell ref="I23:J23"/>
    <mergeCell ref="B24:J24"/>
    <mergeCell ref="A25:D25"/>
    <mergeCell ref="E25:J25"/>
    <mergeCell ref="A26:D26"/>
    <mergeCell ref="F26:J26"/>
    <mergeCell ref="A27:D27"/>
    <mergeCell ref="F27:J27"/>
    <mergeCell ref="A28:D28"/>
    <mergeCell ref="F28:J28"/>
    <mergeCell ref="A29:D29"/>
    <mergeCell ref="F29:J29"/>
    <mergeCell ref="A30:D30"/>
    <mergeCell ref="F30:J30"/>
    <mergeCell ref="A31:D31"/>
    <mergeCell ref="F31:J31"/>
    <mergeCell ref="A33:D33"/>
    <mergeCell ref="G33:J33"/>
    <mergeCell ref="K6:K8"/>
    <mergeCell ref="A34:D38"/>
    <mergeCell ref="G34:J38"/>
  </mergeCells>
  <pageMargins left="0.7" right="0.7" top="0.75" bottom="0.75" header="0.3" footer="0.3"/>
  <pageSetup paperSize="9" scale="60" fitToHeight="0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zoomScale="115" zoomScaleNormal="115" workbookViewId="0">
      <selection activeCell="A22" sqref="A22:L22"/>
    </sheetView>
  </sheetViews>
  <sheetFormatPr defaultColWidth="8.88888888888889" defaultRowHeight="14.4"/>
  <cols>
    <col min="1" max="1" width="19.2222222222222" customWidth="1"/>
    <col min="2" max="2" width="16.5555555555556" customWidth="1"/>
    <col min="3" max="3" width="14.3333333333333" customWidth="1"/>
    <col min="4" max="4" width="17.6851851851852" customWidth="1"/>
    <col min="5" max="5" width="31.5555555555556" customWidth="1"/>
    <col min="6" max="6" width="19.2222222222222" customWidth="1"/>
    <col min="7" max="7" width="18.8888888888889" customWidth="1"/>
    <col min="8" max="9" width="6.75925925925926" customWidth="1"/>
    <col min="10" max="10" width="12.3333333333333" customWidth="1"/>
    <col min="11" max="11" width="16" customWidth="1"/>
    <col min="12" max="12" width="17.5555555555556" customWidth="1"/>
    <col min="13" max="13" width="35.2222222222222" customWidth="1"/>
  </cols>
  <sheetData>
    <row r="1" ht="25.8" spans="1:13">
      <c r="A1" s="88" t="s">
        <v>70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ht="20.4" spans="1:13">
      <c r="A2" s="89" t="s">
        <v>71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3">
      <c r="A3" s="90" t="s">
        <v>72</v>
      </c>
      <c r="B3" s="91" t="s">
        <v>73</v>
      </c>
      <c r="C3" s="92"/>
      <c r="D3" s="92"/>
      <c r="E3" s="92"/>
      <c r="F3" s="93"/>
      <c r="G3" s="94" t="s">
        <v>74</v>
      </c>
      <c r="H3" s="94"/>
      <c r="I3" s="94"/>
      <c r="J3" s="94"/>
      <c r="K3" s="95">
        <v>45764</v>
      </c>
      <c r="L3" s="96"/>
    </row>
    <row r="4" spans="1:13">
      <c r="A4" s="97" t="s">
        <v>75</v>
      </c>
      <c r="B4" s="98"/>
      <c r="C4" s="99"/>
      <c r="D4" s="99"/>
      <c r="E4" s="100"/>
      <c r="F4" s="97"/>
      <c r="G4" s="101" t="s">
        <v>76</v>
      </c>
      <c r="H4" s="102"/>
      <c r="I4" s="102"/>
      <c r="J4" s="102"/>
      <c r="K4" s="102"/>
      <c r="L4" s="103"/>
    </row>
    <row r="5" spans="1:13">
      <c r="A5" s="104" t="s">
        <v>77</v>
      </c>
      <c r="B5" s="98" t="s">
        <v>78</v>
      </c>
      <c r="C5" s="99"/>
      <c r="D5" s="99"/>
      <c r="E5" s="100"/>
      <c r="F5" s="97"/>
      <c r="G5" s="104" t="s">
        <v>79</v>
      </c>
      <c r="H5" s="98" t="s">
        <v>70</v>
      </c>
      <c r="I5" s="99"/>
      <c r="J5" s="99"/>
      <c r="K5" s="99"/>
      <c r="L5" s="100"/>
    </row>
    <row r="6" spans="1:13">
      <c r="A6" s="104" t="s">
        <v>80</v>
      </c>
      <c r="B6" s="98" t="s">
        <v>81</v>
      </c>
      <c r="C6" s="99"/>
      <c r="D6" s="99"/>
      <c r="E6" s="100"/>
      <c r="F6" s="97"/>
      <c r="G6" s="104" t="s">
        <v>80</v>
      </c>
      <c r="H6" s="98" t="s">
        <v>82</v>
      </c>
      <c r="I6" s="99"/>
      <c r="J6" s="99"/>
      <c r="K6" s="99"/>
      <c r="L6" s="100"/>
    </row>
    <row r="7" spans="1:13">
      <c r="A7" s="104" t="s">
        <v>83</v>
      </c>
      <c r="B7" s="105" t="s">
        <v>84</v>
      </c>
      <c r="C7" s="98">
        <v>18857325120</v>
      </c>
      <c r="D7" s="99"/>
      <c r="E7" s="100"/>
      <c r="F7" s="97"/>
      <c r="G7" s="104" t="s">
        <v>83</v>
      </c>
      <c r="H7" s="98">
        <v>18069766520</v>
      </c>
      <c r="I7" s="99"/>
      <c r="J7" s="99"/>
      <c r="K7" s="99"/>
      <c r="L7" s="100"/>
    </row>
    <row r="8" spans="1:13">
      <c r="A8" s="104" t="s">
        <v>85</v>
      </c>
      <c r="B8" s="98" t="s">
        <v>86</v>
      </c>
      <c r="C8" s="99"/>
      <c r="D8" s="99"/>
      <c r="E8" s="99"/>
      <c r="F8" s="106"/>
      <c r="G8" s="103" t="s">
        <v>85</v>
      </c>
      <c r="H8" s="98"/>
      <c r="I8" s="99"/>
      <c r="J8" s="99"/>
      <c r="K8" s="99"/>
      <c r="L8" s="100"/>
    </row>
    <row r="9" ht="28.8" spans="1:13">
      <c r="A9" s="104" t="s">
        <v>87</v>
      </c>
      <c r="B9" s="107" t="s">
        <v>88</v>
      </c>
      <c r="C9" s="104" t="s">
        <v>89</v>
      </c>
      <c r="D9" s="104" t="s">
        <v>90</v>
      </c>
      <c r="E9" s="104" t="s">
        <v>91</v>
      </c>
      <c r="F9" s="104" t="s">
        <v>92</v>
      </c>
      <c r="G9" s="104" t="s">
        <v>93</v>
      </c>
      <c r="H9" s="107" t="s">
        <v>94</v>
      </c>
      <c r="I9" s="107" t="s">
        <v>95</v>
      </c>
      <c r="J9" s="107" t="s">
        <v>96</v>
      </c>
      <c r="K9" s="107" t="s">
        <v>97</v>
      </c>
      <c r="L9" s="107" t="s">
        <v>98</v>
      </c>
    </row>
    <row r="10" ht="129.6" spans="1:13">
      <c r="A10" s="97"/>
      <c r="B10" s="104" t="s">
        <v>99</v>
      </c>
      <c r="C10" s="108" t="s">
        <v>100</v>
      </c>
      <c r="D10" s="108" t="s">
        <v>101</v>
      </c>
      <c r="E10" s="109" t="s">
        <v>102</v>
      </c>
      <c r="F10" s="108" t="s">
        <v>103</v>
      </c>
      <c r="G10" s="108" t="s">
        <v>104</v>
      </c>
      <c r="H10" s="104">
        <v>40</v>
      </c>
      <c r="I10" s="104" t="s">
        <v>105</v>
      </c>
      <c r="J10" s="104" t="s">
        <v>106</v>
      </c>
      <c r="K10" s="110">
        <v>635</v>
      </c>
      <c r="L10" s="110">
        <f>H10*K10</f>
        <v>25400</v>
      </c>
    </row>
    <row r="11" ht="141" customHeight="1" spans="1:13">
      <c r="A11" s="97"/>
      <c r="B11" s="104" t="s">
        <v>99</v>
      </c>
      <c r="C11" s="108" t="s">
        <v>107</v>
      </c>
      <c r="D11" s="108" t="s">
        <v>101</v>
      </c>
      <c r="E11" s="109" t="s">
        <v>108</v>
      </c>
      <c r="F11" s="108" t="s">
        <v>103</v>
      </c>
      <c r="G11" s="108" t="s">
        <v>104</v>
      </c>
      <c r="H11" s="104">
        <v>40</v>
      </c>
      <c r="I11" s="104" t="s">
        <v>105</v>
      </c>
      <c r="J11" s="104" t="s">
        <v>106</v>
      </c>
      <c r="K11" s="110">
        <v>635</v>
      </c>
      <c r="L11" s="111">
        <f>H11*K11</f>
        <v>25400</v>
      </c>
    </row>
    <row r="12" spans="1:13">
      <c r="A12" s="112" t="s">
        <v>109</v>
      </c>
      <c r="B12" s="113"/>
      <c r="C12" s="114"/>
      <c r="D12" s="114"/>
      <c r="E12" s="114"/>
      <c r="F12" s="114"/>
      <c r="G12" s="115"/>
      <c r="H12" s="115">
        <f>SUM(H10:H11)</f>
        <v>80</v>
      </c>
      <c r="I12" s="115"/>
      <c r="J12" s="115"/>
      <c r="K12" s="115"/>
      <c r="L12" s="110">
        <f>SUM(L10:L11)</f>
        <v>50800</v>
      </c>
    </row>
    <row r="13" ht="21" customHeight="1" spans="1:13">
      <c r="A13" s="105" t="s">
        <v>110</v>
      </c>
      <c r="B13" s="116" t="s">
        <v>111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8"/>
      <c r="M13" t="s">
        <v>112</v>
      </c>
    </row>
    <row r="14" ht="19" customHeight="1" spans="1:13">
      <c r="A14" s="97" t="s">
        <v>113</v>
      </c>
      <c r="B14" s="119" t="s">
        <v>114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t="s">
        <v>115</v>
      </c>
    </row>
    <row r="15" ht="19" customHeight="1" spans="1:13">
      <c r="A15" s="97"/>
      <c r="B15" s="122"/>
      <c r="C15" s="123"/>
      <c r="D15" s="123"/>
      <c r="E15" s="123"/>
      <c r="F15" s="123"/>
      <c r="G15" s="123"/>
      <c r="H15" s="123"/>
      <c r="I15" s="123"/>
      <c r="J15" s="123"/>
      <c r="K15" s="123"/>
      <c r="L15" s="123"/>
    </row>
    <row r="16" ht="22" customHeight="1" spans="1:13">
      <c r="A16" s="97" t="s">
        <v>116</v>
      </c>
      <c r="B16" s="124" t="s">
        <v>117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</row>
    <row r="17" spans="1:13">
      <c r="A17" s="97" t="s">
        <v>118</v>
      </c>
      <c r="B17" s="124" t="s">
        <v>119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</row>
    <row r="18" ht="17.4" spans="1:13">
      <c r="A18" s="125" t="s">
        <v>120</v>
      </c>
      <c r="B18" s="126" t="s">
        <v>78</v>
      </c>
      <c r="C18" s="126"/>
      <c r="D18" s="126"/>
      <c r="E18" s="126"/>
      <c r="F18" s="126"/>
      <c r="G18" s="127" t="s">
        <v>121</v>
      </c>
      <c r="H18" s="128" t="s">
        <v>82</v>
      </c>
      <c r="I18" s="129"/>
      <c r="J18" s="129"/>
      <c r="K18" s="129"/>
      <c r="L18" s="130"/>
      <c r="M18" t="s">
        <v>122</v>
      </c>
    </row>
    <row r="19" ht="22" customHeight="1" spans="1:13">
      <c r="A19" s="125" t="s">
        <v>123</v>
      </c>
      <c r="B19" s="131" t="s">
        <v>124</v>
      </c>
      <c r="C19" s="131"/>
      <c r="D19" s="131"/>
      <c r="E19" s="131"/>
      <c r="F19" s="131"/>
      <c r="G19" s="97" t="s">
        <v>83</v>
      </c>
      <c r="H19" s="98">
        <v>18857325120</v>
      </c>
      <c r="I19" s="99"/>
      <c r="J19" s="99"/>
      <c r="K19" s="99"/>
      <c r="L19" s="100"/>
    </row>
    <row r="20" spans="1:13">
      <c r="A20" s="97" t="s">
        <v>125</v>
      </c>
      <c r="B20" s="98" t="s">
        <v>126</v>
      </c>
      <c r="C20" s="99"/>
      <c r="D20" s="99"/>
      <c r="E20" s="99"/>
      <c r="F20" s="99"/>
      <c r="G20" s="99"/>
      <c r="H20" s="99"/>
      <c r="I20" s="99"/>
      <c r="J20" s="99"/>
      <c r="K20" s="99"/>
      <c r="L20" s="100"/>
      <c r="M20" t="s">
        <v>127</v>
      </c>
    </row>
    <row r="21" spans="1:13">
      <c r="A21" s="97" t="s">
        <v>128</v>
      </c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100"/>
    </row>
    <row r="22" spans="1:13">
      <c r="A22" s="105" t="s">
        <v>129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</row>
    <row r="23" ht="18" customHeight="1" spans="1:13">
      <c r="A23" s="132" t="s">
        <v>130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</row>
    <row r="24" ht="18" customHeight="1" spans="1:13">
      <c r="A24" s="132" t="s">
        <v>131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</row>
    <row r="25" ht="18" customHeight="1" spans="1:13">
      <c r="A25" s="132" t="s">
        <v>132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</row>
    <row r="26" ht="18" customHeight="1" spans="1:13">
      <c r="A26" s="133" t="s">
        <v>133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</row>
    <row r="28" ht="28" customHeight="1" spans="1:13">
      <c r="A28" s="134" t="s">
        <v>134</v>
      </c>
      <c r="B28" s="135" t="s">
        <v>78</v>
      </c>
      <c r="C28" s="135"/>
      <c r="D28" s="135"/>
      <c r="E28" s="136"/>
      <c r="F28" s="137"/>
      <c r="G28" s="134" t="s">
        <v>135</v>
      </c>
      <c r="H28" s="138" t="s">
        <v>70</v>
      </c>
      <c r="I28" s="138"/>
      <c r="J28" s="138"/>
      <c r="K28" s="138"/>
      <c r="L28" s="139"/>
    </row>
    <row r="29" ht="40" customHeight="1" spans="1:13">
      <c r="A29" s="140" t="s">
        <v>136</v>
      </c>
      <c r="B29" s="141"/>
      <c r="C29" s="142"/>
      <c r="D29" s="142"/>
      <c r="E29" s="143"/>
      <c r="F29" s="137"/>
      <c r="G29" s="140" t="s">
        <v>136</v>
      </c>
      <c r="H29" s="144"/>
      <c r="I29" s="144"/>
      <c r="J29" s="144"/>
      <c r="K29" s="144"/>
      <c r="L29" s="145"/>
    </row>
    <row r="30" spans="1:13">
      <c r="A30" s="146" t="s">
        <v>137</v>
      </c>
      <c r="B30" s="147"/>
      <c r="C30" s="142"/>
      <c r="D30" s="142"/>
      <c r="E30" s="143"/>
      <c r="F30" s="137"/>
      <c r="G30" s="140" t="s">
        <v>138</v>
      </c>
      <c r="H30" s="144" t="s">
        <v>139</v>
      </c>
      <c r="I30" s="144"/>
      <c r="J30" s="144"/>
      <c r="K30" s="144"/>
      <c r="L30" s="145"/>
    </row>
    <row r="31" spans="1:13">
      <c r="A31" s="140" t="s">
        <v>140</v>
      </c>
      <c r="B31" s="141"/>
      <c r="C31" s="142"/>
      <c r="D31" s="142"/>
      <c r="E31" s="143"/>
      <c r="F31" s="137"/>
      <c r="G31" s="140" t="s">
        <v>140</v>
      </c>
      <c r="H31" s="144" t="s">
        <v>141</v>
      </c>
      <c r="I31" s="144"/>
      <c r="J31" s="144"/>
      <c r="K31" s="144"/>
      <c r="L31" s="145"/>
    </row>
    <row r="32" spans="1:13">
      <c r="A32" s="140" t="s">
        <v>142</v>
      </c>
      <c r="B32" s="141" t="s">
        <v>143</v>
      </c>
      <c r="C32" s="142"/>
      <c r="D32" s="142"/>
      <c r="E32" s="143"/>
      <c r="F32" s="137"/>
      <c r="G32" s="140" t="s">
        <v>142</v>
      </c>
      <c r="H32" s="144" t="s">
        <v>144</v>
      </c>
      <c r="I32" s="144"/>
      <c r="J32" s="144"/>
      <c r="K32" s="144"/>
      <c r="L32" s="145"/>
    </row>
    <row r="33" spans="1:12">
      <c r="A33" s="148"/>
      <c r="B33" s="149"/>
      <c r="C33" s="149"/>
      <c r="D33" s="149"/>
      <c r="E33" s="150"/>
      <c r="F33" s="137"/>
      <c r="G33" s="151"/>
      <c r="H33" s="152"/>
      <c r="I33" s="152"/>
      <c r="J33" s="152"/>
      <c r="K33" s="152"/>
      <c r="L33" s="153"/>
    </row>
  </sheetData>
  <mergeCells count="37">
    <mergeCell ref="A1:L1"/>
    <mergeCell ref="A2:L2"/>
    <mergeCell ref="G3:J3"/>
    <mergeCell ref="K3:L3"/>
    <mergeCell ref="B4:E4"/>
    <mergeCell ref="G4:L4"/>
    <mergeCell ref="B5:E5"/>
    <mergeCell ref="H5:L5"/>
    <mergeCell ref="B6:E6"/>
    <mergeCell ref="H6:L6"/>
    <mergeCell ref="C7:E7"/>
    <mergeCell ref="H7:L7"/>
    <mergeCell ref="B8:E8"/>
    <mergeCell ref="H8:L8"/>
    <mergeCell ref="A12:C12"/>
    <mergeCell ref="B13:L13"/>
    <mergeCell ref="B14:L14"/>
    <mergeCell ref="B16:L16"/>
    <mergeCell ref="B17:L17"/>
    <mergeCell ref="B18:F18"/>
    <mergeCell ref="H18:L18"/>
    <mergeCell ref="B19:F19"/>
    <mergeCell ref="H19:L19"/>
    <mergeCell ref="B20:L20"/>
    <mergeCell ref="B21:L21"/>
    <mergeCell ref="A22:L22"/>
    <mergeCell ref="A23:L23"/>
    <mergeCell ref="A24:L24"/>
    <mergeCell ref="A25:L25"/>
    <mergeCell ref="A26:L26"/>
    <mergeCell ref="B28:E28"/>
    <mergeCell ref="H28:L28"/>
    <mergeCell ref="H29:L29"/>
    <mergeCell ref="H30:L30"/>
    <mergeCell ref="H31:L31"/>
    <mergeCell ref="H32:L32"/>
    <mergeCell ref="H33:L3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I9" sqref="I9"/>
    </sheetView>
  </sheetViews>
  <sheetFormatPr defaultColWidth="8.88888888888889" defaultRowHeight="14.4" outlineLevelCol="6"/>
  <cols>
    <col min="1" max="2" width="11.4444444444444" customWidth="1"/>
    <col min="3" max="3" width="28" customWidth="1"/>
    <col min="4" max="4" width="21.8888888888889" customWidth="1"/>
    <col min="6" max="7" width="17.3333333333333" customWidth="1"/>
  </cols>
  <sheetData>
    <row r="1" ht="22.2" spans="1:7">
      <c r="A1" s="1" t="s">
        <v>70</v>
      </c>
      <c r="B1" s="1"/>
      <c r="C1" s="1"/>
      <c r="D1" s="1"/>
      <c r="E1" s="1"/>
      <c r="F1" s="1"/>
      <c r="G1" s="1"/>
    </row>
    <row r="2" ht="18" spans="1:7">
      <c r="A2" s="2" t="s">
        <v>51</v>
      </c>
      <c r="B2" s="2"/>
      <c r="C2" s="2"/>
      <c r="D2" s="2"/>
      <c r="E2" s="2"/>
      <c r="F2" s="2"/>
      <c r="G2" s="2"/>
    </row>
    <row r="3" ht="15.6" spans="1:7">
      <c r="A3" s="3" t="s">
        <v>145</v>
      </c>
      <c r="B3" s="3"/>
      <c r="C3" s="3"/>
      <c r="D3" s="3"/>
      <c r="E3" s="3"/>
      <c r="F3" s="3"/>
      <c r="G3" s="3"/>
    </row>
    <row r="4" ht="20.4" spans="1:7">
      <c r="A4" s="4" t="s">
        <v>146</v>
      </c>
      <c r="B4" s="4"/>
      <c r="C4" s="4"/>
      <c r="D4" s="4"/>
      <c r="E4" s="4"/>
      <c r="F4" s="4"/>
      <c r="G4" s="4"/>
    </row>
    <row r="5" spans="1:7">
      <c r="A5" s="5" t="s">
        <v>5</v>
      </c>
      <c r="B5" s="6" t="s">
        <v>147</v>
      </c>
      <c r="C5" s="6"/>
      <c r="D5" s="6"/>
      <c r="E5" s="7"/>
      <c r="F5" s="8" t="s">
        <v>148</v>
      </c>
      <c r="G5" s="9" t="s">
        <v>149</v>
      </c>
    </row>
    <row r="6" ht="67" customHeight="1" spans="1:7">
      <c r="A6" s="10"/>
      <c r="B6" s="11"/>
      <c r="C6" s="11"/>
      <c r="D6" s="11"/>
      <c r="E6" s="7"/>
      <c r="F6" s="12" t="s">
        <v>150</v>
      </c>
      <c r="G6" s="13" t="s">
        <v>151</v>
      </c>
    </row>
    <row r="7" ht="16.35" spans="1:7">
      <c r="A7" s="14"/>
      <c r="B7" s="15"/>
      <c r="C7" s="15"/>
      <c r="D7" s="15"/>
      <c r="E7" s="15"/>
      <c r="F7" s="15"/>
      <c r="G7" s="16"/>
    </row>
    <row r="8" ht="15.6" spans="1:7">
      <c r="A8" s="17" t="s">
        <v>152</v>
      </c>
      <c r="B8" s="18" t="s">
        <v>153</v>
      </c>
      <c r="C8" s="19"/>
      <c r="D8" s="20"/>
      <c r="E8" s="16"/>
      <c r="F8" s="21" t="s">
        <v>154</v>
      </c>
      <c r="G8" s="22" t="s">
        <v>155</v>
      </c>
    </row>
    <row r="9" ht="15.6" spans="1:7">
      <c r="A9" s="17" t="s">
        <v>156</v>
      </c>
      <c r="B9" s="16"/>
      <c r="C9" s="23" t="s">
        <v>157</v>
      </c>
      <c r="D9" s="24"/>
      <c r="E9" s="16"/>
      <c r="F9" s="25" t="s">
        <v>158</v>
      </c>
      <c r="G9" s="24" t="s">
        <v>159</v>
      </c>
    </row>
    <row r="10" ht="16.35" spans="1:7">
      <c r="A10" s="26"/>
      <c r="B10" s="26"/>
      <c r="C10" s="26"/>
      <c r="D10" s="26"/>
      <c r="E10" s="26"/>
      <c r="F10" s="26"/>
      <c r="G10" s="26"/>
    </row>
    <row r="11" ht="16.35" spans="1:7">
      <c r="A11" s="52" t="s">
        <v>160</v>
      </c>
      <c r="B11" s="53" t="s">
        <v>161</v>
      </c>
      <c r="C11" s="29" t="s">
        <v>162</v>
      </c>
      <c r="D11" s="30" t="s">
        <v>24</v>
      </c>
      <c r="E11" s="30"/>
      <c r="F11" s="31" t="s">
        <v>163</v>
      </c>
      <c r="G11" s="32" t="s">
        <v>164</v>
      </c>
    </row>
    <row r="12" ht="28" customHeight="1" spans="1:7">
      <c r="A12" s="54"/>
      <c r="B12" s="26" t="s">
        <v>165</v>
      </c>
      <c r="C12" s="34" t="s">
        <v>166</v>
      </c>
      <c r="D12" s="55" t="s">
        <v>167</v>
      </c>
      <c r="E12" s="56">
        <v>30</v>
      </c>
      <c r="F12" s="57">
        <v>106</v>
      </c>
      <c r="G12" s="57">
        <f t="shared" ref="G12:G25" si="0">E12*F12</f>
        <v>3180</v>
      </c>
    </row>
    <row r="13" ht="28" customHeight="1" spans="1:7">
      <c r="A13" s="54"/>
      <c r="B13" s="26" t="s">
        <v>165</v>
      </c>
      <c r="C13" s="34" t="s">
        <v>168</v>
      </c>
      <c r="D13" s="55" t="s">
        <v>167</v>
      </c>
      <c r="E13" s="58">
        <v>30</v>
      </c>
      <c r="F13" s="57">
        <v>101.5</v>
      </c>
      <c r="G13" s="57">
        <f t="shared" si="0"/>
        <v>3045</v>
      </c>
    </row>
    <row r="14" ht="28" customHeight="1" spans="1:7">
      <c r="A14" s="54"/>
      <c r="B14" s="26" t="s">
        <v>165</v>
      </c>
      <c r="C14" s="34" t="s">
        <v>169</v>
      </c>
      <c r="D14" s="55" t="s">
        <v>170</v>
      </c>
      <c r="E14" s="58">
        <v>30</v>
      </c>
      <c r="F14" s="57">
        <v>101.5</v>
      </c>
      <c r="G14" s="57">
        <f t="shared" si="0"/>
        <v>3045</v>
      </c>
    </row>
    <row r="15" ht="28" customHeight="1" spans="1:7">
      <c r="A15" s="54"/>
      <c r="B15" s="26" t="s">
        <v>165</v>
      </c>
      <c r="C15" s="34" t="s">
        <v>171</v>
      </c>
      <c r="D15" s="55" t="s">
        <v>172</v>
      </c>
      <c r="E15" s="58">
        <v>40</v>
      </c>
      <c r="F15" s="57">
        <v>95</v>
      </c>
      <c r="G15" s="57">
        <f t="shared" si="0"/>
        <v>3800</v>
      </c>
    </row>
    <row r="16" ht="28" customHeight="1" spans="1:7">
      <c r="A16" s="54"/>
      <c r="B16" s="26" t="s">
        <v>165</v>
      </c>
      <c r="C16" s="34" t="s">
        <v>171</v>
      </c>
      <c r="D16" s="55" t="s">
        <v>173</v>
      </c>
      <c r="E16" s="58">
        <v>30</v>
      </c>
      <c r="F16" s="57">
        <v>98</v>
      </c>
      <c r="G16" s="57">
        <f t="shared" si="0"/>
        <v>2940</v>
      </c>
    </row>
    <row r="17" ht="28" customHeight="1" spans="1:7">
      <c r="A17" s="54"/>
      <c r="B17" s="26" t="s">
        <v>174</v>
      </c>
      <c r="C17" s="34" t="s">
        <v>175</v>
      </c>
      <c r="D17" s="55" t="s">
        <v>172</v>
      </c>
      <c r="E17" s="58">
        <v>50</v>
      </c>
      <c r="F17" s="57">
        <v>86</v>
      </c>
      <c r="G17" s="57">
        <f t="shared" si="0"/>
        <v>4300</v>
      </c>
    </row>
    <row r="18" ht="28" customHeight="1" spans="1:7">
      <c r="A18" s="54"/>
      <c r="B18" s="26" t="s">
        <v>174</v>
      </c>
      <c r="C18" s="34" t="s">
        <v>176</v>
      </c>
      <c r="D18" s="55" t="s">
        <v>172</v>
      </c>
      <c r="E18" s="58">
        <v>40</v>
      </c>
      <c r="F18" s="57">
        <v>68</v>
      </c>
      <c r="G18" s="57">
        <f t="shared" si="0"/>
        <v>2720</v>
      </c>
    </row>
    <row r="19" ht="28" customHeight="1" spans="1:7">
      <c r="A19" s="54"/>
      <c r="B19" s="26" t="s">
        <v>174</v>
      </c>
      <c r="C19" s="34" t="s">
        <v>176</v>
      </c>
      <c r="D19" s="55" t="s">
        <v>173</v>
      </c>
      <c r="E19" s="58">
        <v>40</v>
      </c>
      <c r="F19" s="57">
        <v>68</v>
      </c>
      <c r="G19" s="57">
        <f t="shared" si="0"/>
        <v>2720</v>
      </c>
    </row>
    <row r="20" ht="28" customHeight="1" spans="1:7">
      <c r="A20" s="54"/>
      <c r="B20" s="43" t="s">
        <v>177</v>
      </c>
      <c r="C20" s="34" t="s">
        <v>178</v>
      </c>
      <c r="D20" s="58" t="s">
        <v>172</v>
      </c>
      <c r="E20" s="58">
        <v>4</v>
      </c>
      <c r="F20" s="59">
        <v>0</v>
      </c>
      <c r="G20" s="57">
        <f t="shared" si="0"/>
        <v>0</v>
      </c>
    </row>
    <row r="21" ht="28" customHeight="1" spans="1:7">
      <c r="A21" s="54"/>
      <c r="B21" s="43" t="s">
        <v>177</v>
      </c>
      <c r="C21" s="45" t="s">
        <v>179</v>
      </c>
      <c r="D21" s="60" t="s">
        <v>180</v>
      </c>
      <c r="E21" s="58">
        <v>2</v>
      </c>
      <c r="F21" s="59">
        <v>0</v>
      </c>
      <c r="G21" s="57">
        <f t="shared" si="0"/>
        <v>0</v>
      </c>
    </row>
    <row r="22" ht="28" customHeight="1" spans="1:7">
      <c r="A22" s="54"/>
      <c r="B22" s="43" t="s">
        <v>177</v>
      </c>
      <c r="C22" s="45" t="s">
        <v>181</v>
      </c>
      <c r="D22" s="60" t="s">
        <v>180</v>
      </c>
      <c r="E22" s="58">
        <v>2</v>
      </c>
      <c r="F22" s="59">
        <v>0</v>
      </c>
      <c r="G22" s="57">
        <f t="shared" si="0"/>
        <v>0</v>
      </c>
    </row>
    <row r="23" ht="28" customHeight="1" spans="1:7">
      <c r="A23" s="54"/>
      <c r="B23" s="43" t="s">
        <v>177</v>
      </c>
      <c r="C23" s="34" t="s">
        <v>182</v>
      </c>
      <c r="D23" s="60" t="s">
        <v>183</v>
      </c>
      <c r="E23" s="58">
        <v>2</v>
      </c>
      <c r="F23" s="59">
        <v>0</v>
      </c>
      <c r="G23" s="57">
        <f t="shared" si="0"/>
        <v>0</v>
      </c>
    </row>
    <row r="24" ht="28" customHeight="1" spans="1:7">
      <c r="A24" s="54"/>
      <c r="B24" s="43" t="s">
        <v>177</v>
      </c>
      <c r="C24" s="61" t="s">
        <v>184</v>
      </c>
      <c r="D24" s="60" t="s">
        <v>185</v>
      </c>
      <c r="E24" s="62">
        <v>2</v>
      </c>
      <c r="F24" s="63">
        <v>0</v>
      </c>
      <c r="G24" s="57">
        <f t="shared" si="0"/>
        <v>0</v>
      </c>
    </row>
    <row r="25" ht="28" customHeight="1" spans="1:7">
      <c r="A25" s="54"/>
      <c r="B25" s="43" t="s">
        <v>177</v>
      </c>
      <c r="C25" s="61" t="s">
        <v>186</v>
      </c>
      <c r="D25" s="60" t="s">
        <v>183</v>
      </c>
      <c r="E25" s="62">
        <v>4</v>
      </c>
      <c r="F25" s="63">
        <v>0</v>
      </c>
      <c r="G25" s="57">
        <f t="shared" si="0"/>
        <v>0</v>
      </c>
    </row>
    <row r="26" ht="33" customHeight="1" spans="1:7">
      <c r="A26" s="54"/>
      <c r="B26" s="43"/>
      <c r="C26" s="64" t="s">
        <v>187</v>
      </c>
      <c r="D26" s="64"/>
      <c r="E26" s="65">
        <f>SUM(E12:E25)</f>
        <v>306</v>
      </c>
      <c r="F26" s="66"/>
      <c r="G26" s="67">
        <f>SUM(G12:G25)</f>
        <v>25750</v>
      </c>
    </row>
    <row r="27" ht="31" customHeight="1" spans="1:7">
      <c r="A27" s="68" t="s">
        <v>188</v>
      </c>
      <c r="B27" s="69"/>
      <c r="C27" s="69"/>
      <c r="D27" s="69"/>
      <c r="E27" s="70" t="s">
        <v>189</v>
      </c>
      <c r="F27" s="70"/>
      <c r="G27" s="71">
        <f>SUM(G26:G26)</f>
        <v>25750</v>
      </c>
    </row>
    <row r="28" ht="31" customHeight="1" spans="1:7">
      <c r="A28" s="72"/>
      <c r="B28" s="73"/>
      <c r="C28" s="73"/>
      <c r="D28" s="74"/>
      <c r="E28" s="75" t="s">
        <v>190</v>
      </c>
      <c r="F28" s="75"/>
      <c r="G28" s="76">
        <v>6930</v>
      </c>
    </row>
    <row r="29" ht="31" customHeight="1" spans="1:7">
      <c r="A29" s="77"/>
      <c r="B29" s="78"/>
      <c r="C29" s="78"/>
      <c r="D29" s="79"/>
      <c r="E29" s="80" t="s">
        <v>191</v>
      </c>
      <c r="F29" s="81"/>
      <c r="G29" s="82">
        <v>1000</v>
      </c>
    </row>
    <row r="30" ht="31" customHeight="1" spans="1:7">
      <c r="A30" s="83"/>
      <c r="B30" s="84"/>
      <c r="C30" s="84"/>
      <c r="D30" s="85"/>
      <c r="E30" s="86" t="s">
        <v>192</v>
      </c>
      <c r="F30" s="86"/>
      <c r="G30" s="87">
        <f>G27-G28-G29</f>
        <v>17820</v>
      </c>
    </row>
  </sheetData>
  <mergeCells count="13">
    <mergeCell ref="A1:G1"/>
    <mergeCell ref="A2:G2"/>
    <mergeCell ref="A3:G3"/>
    <mergeCell ref="A4:G4"/>
    <mergeCell ref="C26:D26"/>
    <mergeCell ref="A27:D27"/>
    <mergeCell ref="E27:F27"/>
    <mergeCell ref="E28:F28"/>
    <mergeCell ref="E29:F29"/>
    <mergeCell ref="E30:F30"/>
    <mergeCell ref="A12:A26"/>
    <mergeCell ref="B5:D6"/>
    <mergeCell ref="A28:D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H19" sqref="H19"/>
    </sheetView>
  </sheetViews>
  <sheetFormatPr defaultColWidth="8.88888888888889" defaultRowHeight="14.4" outlineLevelCol="7"/>
  <cols>
    <col min="1" max="2" width="11.4444444444444" customWidth="1"/>
    <col min="3" max="3" width="28" customWidth="1"/>
    <col min="4" max="4" width="21.8888888888889" customWidth="1"/>
    <col min="5" max="5" width="19.5555555555556" customWidth="1"/>
    <col min="6" max="8" width="17.3333333333333" customWidth="1"/>
  </cols>
  <sheetData>
    <row r="1" ht="22.2" spans="1:8">
      <c r="A1" s="1" t="s">
        <v>70</v>
      </c>
      <c r="B1" s="1"/>
      <c r="C1" s="1"/>
      <c r="D1" s="1"/>
      <c r="E1" s="1"/>
      <c r="F1" s="1"/>
      <c r="G1" s="1"/>
      <c r="H1" s="1"/>
    </row>
    <row r="2" ht="18" spans="1:8">
      <c r="A2" s="2" t="s">
        <v>51</v>
      </c>
      <c r="B2" s="2"/>
      <c r="C2" s="2"/>
      <c r="D2" s="2"/>
      <c r="E2" s="2"/>
      <c r="F2" s="2"/>
      <c r="G2" s="2"/>
      <c r="H2" s="2"/>
    </row>
    <row r="3" ht="15.6" spans="1:8">
      <c r="A3" s="3" t="s">
        <v>145</v>
      </c>
      <c r="B3" s="3"/>
      <c r="C3" s="3"/>
      <c r="D3" s="3"/>
      <c r="E3" s="3"/>
      <c r="F3" s="3"/>
      <c r="G3" s="3"/>
      <c r="H3" s="3"/>
    </row>
    <row r="4" ht="20.4" spans="1:8">
      <c r="A4" s="4" t="s">
        <v>193</v>
      </c>
      <c r="B4" s="4"/>
      <c r="C4" s="4"/>
      <c r="D4" s="4"/>
      <c r="E4" s="4"/>
      <c r="F4" s="4"/>
      <c r="G4" s="4"/>
      <c r="H4" s="4"/>
    </row>
    <row r="5" spans="1:8">
      <c r="A5" s="5" t="s">
        <v>5</v>
      </c>
      <c r="B5" s="6" t="s">
        <v>147</v>
      </c>
      <c r="C5" s="6"/>
      <c r="D5" s="6"/>
      <c r="E5" s="7"/>
      <c r="F5" s="8" t="s">
        <v>148</v>
      </c>
      <c r="G5" s="8"/>
      <c r="H5" s="9" t="s">
        <v>149</v>
      </c>
    </row>
    <row r="6" ht="67" customHeight="1" spans="1:8">
      <c r="A6" s="10"/>
      <c r="B6" s="11"/>
      <c r="C6" s="11"/>
      <c r="D6" s="11"/>
      <c r="E6" s="7"/>
      <c r="F6" s="12" t="s">
        <v>150</v>
      </c>
      <c r="G6" s="12"/>
      <c r="H6" s="13" t="s">
        <v>151</v>
      </c>
    </row>
    <row r="7" ht="16.35" spans="1:8">
      <c r="A7" s="14"/>
      <c r="B7" s="15"/>
      <c r="C7" s="15"/>
      <c r="D7" s="15"/>
      <c r="E7" s="15"/>
      <c r="F7" s="15"/>
      <c r="G7" s="16"/>
      <c r="H7" s="16"/>
    </row>
    <row r="8" ht="15.6" spans="1:8">
      <c r="A8" s="17" t="s">
        <v>152</v>
      </c>
      <c r="B8" s="18" t="s">
        <v>153</v>
      </c>
      <c r="C8" s="19"/>
      <c r="D8" s="20"/>
      <c r="E8" s="16"/>
      <c r="F8" s="21"/>
      <c r="G8" s="21" t="s">
        <v>154</v>
      </c>
      <c r="H8" s="22" t="s">
        <v>155</v>
      </c>
    </row>
    <row r="9" ht="15.6" spans="1:8">
      <c r="A9" s="17" t="s">
        <v>156</v>
      </c>
      <c r="B9" s="16"/>
      <c r="C9" s="23" t="s">
        <v>157</v>
      </c>
      <c r="D9" s="24"/>
      <c r="E9" s="16"/>
      <c r="F9" s="25"/>
      <c r="G9" s="25" t="s">
        <v>158</v>
      </c>
      <c r="H9" s="24" t="s">
        <v>159</v>
      </c>
    </row>
    <row r="10" ht="16.35" spans="1:8">
      <c r="A10" s="26"/>
      <c r="B10" s="26"/>
      <c r="C10" s="26"/>
      <c r="D10" s="26"/>
      <c r="E10" s="26"/>
      <c r="F10" s="26"/>
      <c r="G10" s="26"/>
      <c r="H10" s="26"/>
    </row>
    <row r="11" ht="15.6" spans="1:8">
      <c r="A11" s="27" t="s">
        <v>160</v>
      </c>
      <c r="B11" s="28"/>
      <c r="C11" s="29" t="s">
        <v>194</v>
      </c>
      <c r="D11" s="30" t="s">
        <v>195</v>
      </c>
      <c r="E11" s="30" t="s">
        <v>196</v>
      </c>
      <c r="F11" s="31" t="s">
        <v>197</v>
      </c>
      <c r="G11" s="31" t="s">
        <v>198</v>
      </c>
      <c r="H11" s="32" t="s">
        <v>199</v>
      </c>
    </row>
    <row r="12" ht="36" customHeight="1" spans="1:8">
      <c r="A12" s="33" t="s">
        <v>200</v>
      </c>
      <c r="B12" s="26" t="s">
        <v>165</v>
      </c>
      <c r="C12" s="34" t="s">
        <v>166</v>
      </c>
      <c r="D12" s="35">
        <v>30</v>
      </c>
      <c r="E12" s="36">
        <v>31</v>
      </c>
      <c r="F12" s="37">
        <v>780</v>
      </c>
      <c r="G12" s="38">
        <v>760</v>
      </c>
      <c r="H12" s="39" t="s">
        <v>201</v>
      </c>
    </row>
    <row r="13" ht="36" customHeight="1" spans="1:8">
      <c r="A13" s="40"/>
      <c r="B13" s="26" t="s">
        <v>165</v>
      </c>
      <c r="C13" s="34" t="s">
        <v>168</v>
      </c>
      <c r="D13" s="35">
        <v>30</v>
      </c>
      <c r="E13" s="36" t="s">
        <v>202</v>
      </c>
      <c r="F13" s="37">
        <v>780</v>
      </c>
      <c r="G13" s="38">
        <v>760</v>
      </c>
      <c r="H13" s="41" t="s">
        <v>203</v>
      </c>
    </row>
    <row r="14" ht="36" customHeight="1" spans="1:8">
      <c r="A14" s="40"/>
      <c r="B14" s="26" t="s">
        <v>165</v>
      </c>
      <c r="C14" s="34" t="s">
        <v>169</v>
      </c>
      <c r="D14" s="35">
        <v>30</v>
      </c>
      <c r="E14" s="36" t="s">
        <v>202</v>
      </c>
      <c r="F14" s="37">
        <v>780</v>
      </c>
      <c r="G14" s="38">
        <v>760</v>
      </c>
      <c r="H14" s="42"/>
    </row>
    <row r="15" ht="36" customHeight="1" spans="1:8">
      <c r="A15" s="40"/>
      <c r="B15" s="26" t="s">
        <v>165</v>
      </c>
      <c r="C15" s="34" t="s">
        <v>171</v>
      </c>
      <c r="D15" s="35">
        <v>40</v>
      </c>
      <c r="E15" s="36" t="s">
        <v>204</v>
      </c>
      <c r="F15" s="37">
        <v>775</v>
      </c>
      <c r="G15" s="38">
        <v>755</v>
      </c>
      <c r="H15" s="42"/>
    </row>
    <row r="16" ht="36" customHeight="1" spans="1:8">
      <c r="A16" s="40"/>
      <c r="B16" s="26" t="s">
        <v>165</v>
      </c>
      <c r="C16" s="34" t="s">
        <v>171</v>
      </c>
      <c r="D16" s="35">
        <v>30</v>
      </c>
      <c r="E16" s="36" t="s">
        <v>202</v>
      </c>
      <c r="F16" s="37">
        <v>775</v>
      </c>
      <c r="G16" s="38">
        <v>755</v>
      </c>
      <c r="H16" s="42"/>
    </row>
    <row r="17" ht="36" customHeight="1" spans="1:8">
      <c r="A17" s="40"/>
      <c r="B17" s="26" t="s">
        <v>174</v>
      </c>
      <c r="C17" s="34" t="s">
        <v>175</v>
      </c>
      <c r="D17" s="35">
        <v>50</v>
      </c>
      <c r="E17" s="36" t="s">
        <v>205</v>
      </c>
      <c r="F17" s="37">
        <v>780</v>
      </c>
      <c r="G17" s="38">
        <v>760</v>
      </c>
      <c r="H17" s="42"/>
    </row>
    <row r="18" ht="36" customHeight="1" spans="1:8">
      <c r="A18" s="40"/>
      <c r="B18" s="26" t="s">
        <v>174</v>
      </c>
      <c r="C18" s="34" t="s">
        <v>176</v>
      </c>
      <c r="D18" s="35">
        <v>40</v>
      </c>
      <c r="E18" s="36" t="s">
        <v>204</v>
      </c>
      <c r="F18" s="37">
        <v>720</v>
      </c>
      <c r="G18" s="38">
        <v>760</v>
      </c>
      <c r="H18" s="42"/>
    </row>
    <row r="19" ht="36" customHeight="1" spans="1:8">
      <c r="A19" s="40"/>
      <c r="B19" s="26" t="s">
        <v>174</v>
      </c>
      <c r="C19" s="34" t="s">
        <v>176</v>
      </c>
      <c r="D19" s="35">
        <v>40</v>
      </c>
      <c r="E19" s="36" t="s">
        <v>204</v>
      </c>
      <c r="F19" s="37">
        <v>720</v>
      </c>
      <c r="G19" s="38">
        <v>700</v>
      </c>
      <c r="H19" s="42"/>
    </row>
    <row r="20" ht="36" customHeight="1" spans="1:8">
      <c r="A20" s="40"/>
      <c r="B20" s="43" t="s">
        <v>177</v>
      </c>
      <c r="C20" s="34" t="s">
        <v>178</v>
      </c>
      <c r="D20" s="35">
        <v>4</v>
      </c>
      <c r="E20" s="36">
        <v>10</v>
      </c>
      <c r="F20" s="37">
        <v>780</v>
      </c>
      <c r="G20" s="44">
        <v>760</v>
      </c>
      <c r="H20" s="42"/>
    </row>
    <row r="21" ht="36" customHeight="1" spans="1:8">
      <c r="A21" s="40"/>
      <c r="B21" s="43" t="s">
        <v>177</v>
      </c>
      <c r="C21" s="45" t="s">
        <v>179</v>
      </c>
      <c r="D21" s="35">
        <v>2</v>
      </c>
      <c r="E21" s="36">
        <v>5</v>
      </c>
      <c r="F21" s="37">
        <v>37</v>
      </c>
      <c r="G21" s="44">
        <v>35</v>
      </c>
      <c r="H21" s="42"/>
    </row>
    <row r="22" ht="36" customHeight="1" spans="1:8">
      <c r="A22" s="40"/>
      <c r="B22" s="43" t="s">
        <v>177</v>
      </c>
      <c r="C22" s="45" t="s">
        <v>181</v>
      </c>
      <c r="D22" s="35">
        <v>1</v>
      </c>
      <c r="E22" s="36">
        <v>6</v>
      </c>
      <c r="F22" s="37">
        <v>38</v>
      </c>
      <c r="G22" s="44">
        <v>36</v>
      </c>
      <c r="H22" s="42"/>
    </row>
    <row r="23" ht="36" customHeight="1" spans="1:8">
      <c r="A23" s="40"/>
      <c r="B23" s="43" t="s">
        <v>177</v>
      </c>
      <c r="C23" s="34" t="s">
        <v>182</v>
      </c>
      <c r="D23" s="35">
        <v>1</v>
      </c>
      <c r="E23" s="36">
        <v>2</v>
      </c>
      <c r="F23" s="37">
        <v>39</v>
      </c>
      <c r="G23" s="44">
        <v>36</v>
      </c>
      <c r="H23" s="42"/>
    </row>
    <row r="24" ht="36" customHeight="1" spans="1:8">
      <c r="A24" s="40"/>
      <c r="B24" s="43" t="s">
        <v>177</v>
      </c>
      <c r="C24" s="34" t="s">
        <v>184</v>
      </c>
      <c r="D24" s="35">
        <v>1</v>
      </c>
      <c r="E24" s="36">
        <v>6</v>
      </c>
      <c r="F24" s="37">
        <v>40</v>
      </c>
      <c r="G24" s="44">
        <v>35</v>
      </c>
      <c r="H24" s="42"/>
    </row>
    <row r="25" ht="36" customHeight="1" spans="1:8">
      <c r="A25" s="40"/>
      <c r="B25" s="43" t="s">
        <v>177</v>
      </c>
      <c r="C25" s="34" t="s">
        <v>186</v>
      </c>
      <c r="D25" s="35">
        <v>2</v>
      </c>
      <c r="E25" s="36">
        <v>35</v>
      </c>
      <c r="F25" s="37">
        <v>41</v>
      </c>
      <c r="G25" s="44">
        <v>36</v>
      </c>
      <c r="H25" s="42"/>
    </row>
    <row r="26" ht="36" customHeight="1" spans="1:8">
      <c r="A26" s="46"/>
      <c r="B26" s="47"/>
      <c r="C26" s="48" t="s">
        <v>187</v>
      </c>
      <c r="D26" s="48">
        <f>SUM(D12:D25)</f>
        <v>301</v>
      </c>
      <c r="E26" s="49">
        <f>SUM(E12:E25)</f>
        <v>95</v>
      </c>
      <c r="F26" s="50">
        <f>SUM(F12:F25)</f>
        <v>7085</v>
      </c>
      <c r="G26" s="50">
        <f>SUM(G12:G25)</f>
        <v>6948</v>
      </c>
      <c r="H26" s="51"/>
    </row>
  </sheetData>
  <mergeCells count="6">
    <mergeCell ref="A1:H1"/>
    <mergeCell ref="A2:H2"/>
    <mergeCell ref="A3:H3"/>
    <mergeCell ref="A4:H4"/>
    <mergeCell ref="A12:A26"/>
    <mergeCell ref="B5:D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PI模板</vt:lpstr>
      <vt:lpstr>国内采购合同</vt:lpstr>
      <vt:lpstr>CI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李 15381185751</cp:lastModifiedBy>
  <dcterms:created xsi:type="dcterms:W3CDTF">2023-05-12T11:15:00Z</dcterms:created>
  <dcterms:modified xsi:type="dcterms:W3CDTF">2026-06-05T09:36:19Z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1ECDC77CF5704F379A2B46CD15A7FD2C_13</vt:lpwstr>
  </property>
  <property fmtid="{D5CDD505-2E9C-101B-9397-08002B2CF9AE}" pid="4" name="CalculationRule">
    <vt:i4>0</vt:i4>
  </property>
</Properties>
</file>