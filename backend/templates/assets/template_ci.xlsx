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.00;\-\$#,##0.00"/>
    <numFmt numFmtId="165" formatCode="[$USD]\ #,##0.00;[$USD]\ \-#,##0.00"/>
  </numFmts>
  <fonts count="22">
    <font>
      <name val="Calibri"/>
      <family val="2"/>
      <color theme="1"/>
      <sz val="11"/>
      <scheme val="minor"/>
    </font>
    <font>
      <name val="宋体"/>
      <charset val="134"/>
      <b val="1"/>
      <sz val="18"/>
    </font>
    <font>
      <name val="Times New Roman"/>
      <charset val="0"/>
      <sz val="14"/>
    </font>
    <font>
      <name val="Times New Roman"/>
      <charset val="0"/>
      <sz val="12"/>
    </font>
    <font>
      <name val="Times New Roman"/>
      <charset val="0"/>
      <b val="1"/>
      <sz val="16"/>
    </font>
    <font>
      <name val="Times New Roman"/>
      <charset val="0"/>
      <sz val="10"/>
    </font>
    <font>
      <name val="宋体"/>
      <charset val="134"/>
      <sz val="10"/>
    </font>
    <font>
      <name val="宋体"/>
      <charset val="134"/>
      <sz val="11"/>
    </font>
    <font>
      <name val="Times New Roman"/>
      <charset val="0"/>
      <sz val="11"/>
    </font>
    <font>
      <name val="Calibri"/>
      <charset val="134"/>
      <sz val="11"/>
    </font>
    <font>
      <name val="宋体"/>
      <charset val="134"/>
      <sz val="12"/>
    </font>
    <font>
      <name val="Times New Roman"/>
      <charset val="0"/>
      <b val="1"/>
      <sz val="12"/>
    </font>
    <font>
      <name val="宋体"/>
      <charset val="134"/>
      <b val="1"/>
      <sz val="12"/>
    </font>
    <font>
      <name val="Tahoma"/>
      <charset val="134"/>
      <sz val="10"/>
    </font>
    <font>
      <name val="Arial"/>
      <charset val="134"/>
      <color theme="1"/>
      <sz val="10"/>
    </font>
    <font>
      <name val="Arial"/>
      <charset val="134"/>
      <sz val="10"/>
    </font>
    <font>
      <name val="宋体"/>
      <charset val="134"/>
      <color theme="1"/>
      <sz val="10"/>
      <scheme val="minor"/>
    </font>
    <font>
      <name val="宋体"/>
      <charset val="134"/>
      <b val="1"/>
      <sz val="16"/>
    </font>
    <font>
      <name val="宋体"/>
      <charset val="134"/>
      <b val="1"/>
      <sz val="14"/>
    </font>
    <font>
      <name val="Times New Roman"/>
      <charset val="0"/>
      <b val="1"/>
      <sz val="14"/>
    </font>
    <font>
      <name val="宋体"/>
      <charset val="134"/>
      <color rgb="FFFF0000"/>
      <sz val="11"/>
    </font>
    <font>
      <name val="Times New Roman"/>
      <charset val="0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3" fillId="0" borderId="2" pivotButton="0" quotePrefix="0" xfId="0"/>
    <xf numFmtId="0" fontId="10" fillId="0" borderId="2" pivotButton="0" quotePrefix="0" xfId="0"/>
    <xf numFmtId="0" fontId="10" fillId="0" borderId="0" pivotButton="0" quotePrefix="0" xfId="0"/>
    <xf numFmtId="0" fontId="8" fillId="0" borderId="3" pivotButton="0" quotePrefix="0" xfId="0"/>
    <xf numFmtId="0" fontId="10" fillId="0" borderId="3" pivotButton="0" quotePrefix="0" xfId="0"/>
    <xf numFmtId="0" fontId="7" fillId="0" borderId="3" pivotButton="0" quotePrefix="0" xfId="0"/>
    <xf numFmtId="0" fontId="11" fillId="0" borderId="3" pivotButton="0" quotePrefix="0" xfId="0"/>
    <xf numFmtId="0" fontId="10" fillId="0" borderId="1" pivotButton="0" quotePrefix="0" xfId="0"/>
    <xf numFmtId="0" fontId="8" fillId="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4" pivotButton="0" quotePrefix="0" xfId="0"/>
    <xf numFmtId="0" fontId="12" fillId="0" borderId="5" applyAlignment="1" pivotButton="0" quotePrefix="0" xfId="0">
      <alignment horizontal="center" vertical="center"/>
    </xf>
    <xf numFmtId="0" fontId="11" fillId="0" borderId="6" pivotButton="0" quotePrefix="0" xfId="0"/>
    <xf numFmtId="0" fontId="10" fillId="0" borderId="6" pivotButton="0" quotePrefix="0" xfId="0"/>
    <xf numFmtId="0" fontId="11" fillId="0" borderId="7" pivotButton="0" quotePrefix="0" xfId="0"/>
    <xf numFmtId="0" fontId="11" fillId="0" borderId="8" pivotButton="0" quotePrefix="0" xfId="0"/>
    <xf numFmtId="0" fontId="5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vertical="center" wrapText="1"/>
    </xf>
    <xf numFmtId="0" fontId="10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164" fontId="14" fillId="0" borderId="10" applyAlignment="1" pivotButton="0" quotePrefix="0" xfId="0">
      <alignment horizontal="center" vertical="center" wrapText="1"/>
    </xf>
    <xf numFmtId="0" fontId="15" fillId="2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center" wrapText="1"/>
    </xf>
    <xf numFmtId="164" fontId="14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6" fillId="0" borderId="10" applyAlignment="1" pivotButton="0" quotePrefix="0" xfId="0">
      <alignment horizontal="center" vertical="center"/>
    </xf>
    <xf numFmtId="0" fontId="10" fillId="0" borderId="12" applyAlignment="1" pivotButton="0" quotePrefix="0" xfId="0">
      <alignment vertical="center" wrapText="1"/>
    </xf>
    <xf numFmtId="0" fontId="15" fillId="2" borderId="12" applyAlignment="1" pivotButton="0" quotePrefix="0" xfId="0">
      <alignment horizontal="center" vertical="center" wrapText="1"/>
    </xf>
    <xf numFmtId="164" fontId="14" fillId="0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165" fontId="19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/>
    </xf>
    <xf numFmtId="165" fontId="19" fillId="0" borderId="16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8" fillId="0" borderId="18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165" fontId="21" fillId="0" borderId="1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165" fontId="11" fillId="0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1.4444444444444" customWidth="1" min="1" max="1"/>
    <col width="28" customWidth="1" min="2" max="2"/>
    <col width="21.8888888888889" customWidth="1" min="3" max="3"/>
    <col width="17.3333333333333" customWidth="1" min="4" max="4"/>
  </cols>
  <sheetData>
    <row r="1" ht="22.2" customHeight="1">
      <c r="A1" s="1" t="inlineStr">
        <is>
          <t>杭州维那贸易有限公司</t>
        </is>
      </c>
    </row>
    <row r="2" ht="18" customHeight="1">
      <c r="A2" s="2" t="inlineStr">
        <is>
          <t>HANGZHOU WEINA TRADE CO.,LTD</t>
        </is>
      </c>
    </row>
    <row r="3" ht="15.6" customHeight="1">
      <c r="A3" s="3" t="inlineStr">
        <is>
          <t>Office No.901-903 Fubang Xingzuo Building,No.68 Sancao Road, Hangzhou City,Zhejiang China,ZIP CODE 311100</t>
        </is>
      </c>
    </row>
    <row r="4" ht="20.4" customHeight="1">
      <c r="A4" s="4" t="inlineStr">
        <is>
          <t>COMMERCIAL INVOICE</t>
        </is>
      </c>
    </row>
    <row r="5" ht="67" customHeight="1">
      <c r="A5" s="5" t="inlineStr">
        <is>
          <t>TO:</t>
        </is>
      </c>
      <c r="B5" s="6" t="inlineStr">
        <is>
          <t>MILLENNIALS TRAVEL S.A.C
RUC:20604739315 CALLE.CABO
BLANCO MZA.C4 LOTE.12 DPTO.201.
CEDROS DE VILLA CHORRILLOS PERU</t>
        </is>
      </c>
      <c r="E5" s="7" t="n"/>
      <c r="F5" s="8" t="inlineStr">
        <is>
          <t>S/C NO:</t>
        </is>
      </c>
      <c r="G5" s="9" t="inlineStr">
        <is>
          <t>WL20260104</t>
        </is>
      </c>
    </row>
    <row r="6" ht="16.35" customHeight="1">
      <c r="A6" s="10" t="n"/>
      <c r="E6" s="7" t="n"/>
      <c r="F6" s="11" t="inlineStr">
        <is>
          <t>Loading date:</t>
        </is>
      </c>
      <c r="G6" s="12" t="inlineStr">
        <is>
          <t>01/04/2026</t>
        </is>
      </c>
    </row>
    <row r="7" ht="15.6" customHeight="1">
      <c r="A7" s="13" t="n"/>
      <c r="B7" s="14" t="n"/>
      <c r="C7" s="14" t="n"/>
      <c r="D7" s="14" t="n"/>
      <c r="E7" s="14" t="n"/>
      <c r="F7" s="14" t="n"/>
      <c r="G7" s="15" t="n"/>
    </row>
    <row r="8" ht="15.6" customHeight="1">
      <c r="A8" s="11" t="inlineStr">
        <is>
          <t>From</t>
        </is>
      </c>
      <c r="B8" s="16" t="inlineStr">
        <is>
          <t xml:space="preserve">SHANGHAI CHINA </t>
        </is>
      </c>
      <c r="C8" s="17" t="n"/>
      <c r="D8" s="18" t="n"/>
      <c r="E8" s="15" t="n"/>
      <c r="F8" s="19" t="inlineStr">
        <is>
          <t>To</t>
        </is>
      </c>
      <c r="G8" s="20" t="inlineStr">
        <is>
          <t>CALLAO,PERU</t>
        </is>
      </c>
    </row>
    <row r="9" ht="16.35" customHeight="1">
      <c r="A9" s="11" t="inlineStr">
        <is>
          <t>Letter Of Credit No.</t>
        </is>
      </c>
      <c r="B9" s="15" t="n"/>
      <c r="C9" s="21" t="inlineStr">
        <is>
          <t>TT</t>
        </is>
      </c>
      <c r="D9" s="20" t="n"/>
      <c r="E9" s="15" t="n"/>
      <c r="F9" s="22" t="inlineStr">
        <is>
          <t>FOB</t>
        </is>
      </c>
      <c r="G9" s="20" t="inlineStr">
        <is>
          <t>SHANGHAI</t>
        </is>
      </c>
    </row>
    <row r="10" ht="16.35" customHeight="1">
      <c r="A10" s="15" t="n"/>
      <c r="B10" s="15" t="n"/>
      <c r="C10" s="15" t="n"/>
      <c r="D10" s="15" t="n"/>
      <c r="E10" s="15" t="n"/>
      <c r="F10" s="15" t="n"/>
      <c r="G10" s="15" t="n"/>
    </row>
    <row r="11" ht="28" customHeight="1">
      <c r="A11" s="23" t="inlineStr">
        <is>
          <t xml:space="preserve">    Marks &amp; Nos</t>
        </is>
      </c>
      <c r="B11" s="24" t="inlineStr">
        <is>
          <t>PI NO.</t>
        </is>
      </c>
      <c r="C11" s="25" t="inlineStr">
        <is>
          <t xml:space="preserve">          Quantities</t>
        </is>
      </c>
      <c r="D11" s="26" t="inlineStr">
        <is>
          <t>Description</t>
        </is>
      </c>
      <c r="E11" s="26" t="n"/>
      <c r="F11" s="27" t="inlineStr">
        <is>
          <t xml:space="preserve">        Unit Price</t>
        </is>
      </c>
      <c r="G11" s="28" t="inlineStr">
        <is>
          <t xml:space="preserve">        Amount</t>
        </is>
      </c>
    </row>
    <row r="12" ht="28" customHeight="1">
      <c r="A12" s="29" t="n"/>
      <c r="B12" s="15" t="inlineStr">
        <is>
          <t>S260512</t>
        </is>
      </c>
      <c r="C12" s="30" t="inlineStr">
        <is>
          <t>SR12-GRAND-Footrest</t>
        </is>
      </c>
      <c r="D12" s="31" t="inlineStr">
        <is>
          <t>leather-black</t>
        </is>
      </c>
      <c r="E12" s="32" t="n">
        <v>30</v>
      </c>
      <c r="F12" s="33" t="n">
        <v>106</v>
      </c>
      <c r="G12" s="33">
        <f>E12*F12</f>
        <v/>
      </c>
    </row>
    <row r="13" ht="28" customHeight="1">
      <c r="B13" s="15" t="inlineStr">
        <is>
          <t>S260512</t>
        </is>
      </c>
      <c r="C13" s="30" t="inlineStr">
        <is>
          <t>SR12-GRAND-Leather</t>
        </is>
      </c>
      <c r="D13" s="31" t="inlineStr">
        <is>
          <t>leather-black</t>
        </is>
      </c>
      <c r="E13" s="34" t="n">
        <v>30</v>
      </c>
      <c r="F13" s="33" t="n">
        <v>101.5</v>
      </c>
      <c r="G13" s="33">
        <f>E13*F13</f>
        <v/>
      </c>
    </row>
    <row r="14" ht="28" customHeight="1">
      <c r="B14" s="15" t="inlineStr">
        <is>
          <t>S260512</t>
        </is>
      </c>
      <c r="C14" s="30" t="inlineStr">
        <is>
          <t>SR12-GRAND-Fabric</t>
        </is>
      </c>
      <c r="D14" s="31" t="inlineStr">
        <is>
          <t>fabric-grey</t>
        </is>
      </c>
      <c r="E14" s="34" t="n">
        <v>30</v>
      </c>
      <c r="F14" s="33" t="n">
        <v>101.5</v>
      </c>
      <c r="G14" s="33">
        <f>E14*F14</f>
        <v/>
      </c>
    </row>
    <row r="15" ht="28" customHeight="1">
      <c r="B15" s="15" t="inlineStr">
        <is>
          <t>S260512</t>
        </is>
      </c>
      <c r="C15" s="30" t="inlineStr">
        <is>
          <t>SRF2</t>
        </is>
      </c>
      <c r="D15" s="31" t="inlineStr">
        <is>
          <t>Black</t>
        </is>
      </c>
      <c r="E15" s="34" t="n">
        <v>40</v>
      </c>
      <c r="F15" s="33" t="n">
        <v>95</v>
      </c>
      <c r="G15" s="33">
        <f>E15*F15</f>
        <v/>
      </c>
    </row>
    <row r="16" ht="28" customHeight="1">
      <c r="B16" s="15" t="inlineStr">
        <is>
          <t>S260512</t>
        </is>
      </c>
      <c r="C16" s="30" t="inlineStr">
        <is>
          <t>SRF2</t>
        </is>
      </c>
      <c r="D16" s="31" t="inlineStr">
        <is>
          <t>GREY</t>
        </is>
      </c>
      <c r="E16" s="34" t="n">
        <v>30</v>
      </c>
      <c r="F16" s="33" t="n">
        <v>98</v>
      </c>
      <c r="G16" s="33">
        <f>E16*F16</f>
        <v/>
      </c>
    </row>
    <row r="17" ht="28" customHeight="1">
      <c r="B17" s="15" t="inlineStr">
        <is>
          <t>S251219</t>
        </is>
      </c>
      <c r="C17" s="30" t="inlineStr">
        <is>
          <t>SR7</t>
        </is>
      </c>
      <c r="D17" s="31" t="inlineStr">
        <is>
          <t>Black</t>
        </is>
      </c>
      <c r="E17" s="34" t="n">
        <v>50</v>
      </c>
      <c r="F17" s="33" t="n">
        <v>86</v>
      </c>
      <c r="G17" s="33">
        <f>E17*F17</f>
        <v/>
      </c>
    </row>
    <row r="18" ht="28" customHeight="1">
      <c r="B18" s="15" t="inlineStr">
        <is>
          <t>S251219</t>
        </is>
      </c>
      <c r="C18" s="30" t="inlineStr">
        <is>
          <t>SR6</t>
        </is>
      </c>
      <c r="D18" s="31" t="inlineStr">
        <is>
          <t>Black</t>
        </is>
      </c>
      <c r="E18" s="34" t="n">
        <v>40</v>
      </c>
      <c r="F18" s="33" t="n">
        <v>68</v>
      </c>
      <c r="G18" s="33">
        <f>E18*F18</f>
        <v/>
      </c>
    </row>
    <row r="19" ht="28" customHeight="1">
      <c r="B19" s="15" t="inlineStr">
        <is>
          <t>S251219</t>
        </is>
      </c>
      <c r="C19" s="30" t="inlineStr">
        <is>
          <t>SR6</t>
        </is>
      </c>
      <c r="D19" s="31" t="inlineStr">
        <is>
          <t>GREY</t>
        </is>
      </c>
      <c r="E19" s="34" t="n">
        <v>40</v>
      </c>
      <c r="F19" s="33" t="n">
        <v>68</v>
      </c>
      <c r="G19" s="33">
        <f>E19*F19</f>
        <v/>
      </c>
    </row>
    <row r="20" ht="28" customHeight="1">
      <c r="B20" s="35" t="inlineStr">
        <is>
          <t>S251108</t>
        </is>
      </c>
      <c r="C20" s="30" t="inlineStr">
        <is>
          <t>Tilt Mechanism 
(Butterfly Plate)</t>
        </is>
      </c>
      <c r="D20" s="34" t="inlineStr">
        <is>
          <t>Black</t>
        </is>
      </c>
      <c r="E20" s="34" t="n">
        <v>4</v>
      </c>
      <c r="F20" s="36" t="n">
        <v>0</v>
      </c>
      <c r="G20" s="33">
        <f>E20*F20</f>
        <v/>
      </c>
    </row>
    <row r="21" ht="28" customHeight="1">
      <c r="B21" s="35" t="inlineStr">
        <is>
          <t>S251108</t>
        </is>
      </c>
      <c r="C21" s="37" t="inlineStr">
        <is>
          <t>4D Armrest</t>
        </is>
      </c>
      <c r="D21" s="38" t="inlineStr">
        <is>
          <t>1 Left + 1 Right</t>
        </is>
      </c>
      <c r="E21" s="34" t="n">
        <v>2</v>
      </c>
      <c r="F21" s="36" t="n">
        <v>0</v>
      </c>
      <c r="G21" s="33">
        <f>E21*F21</f>
        <v/>
      </c>
    </row>
    <row r="22" ht="28" customHeight="1">
      <c r="B22" s="35" t="inlineStr">
        <is>
          <t>S251108</t>
        </is>
      </c>
      <c r="C22" s="37" t="inlineStr">
        <is>
          <t>3D Armrest</t>
        </is>
      </c>
      <c r="D22" s="38" t="inlineStr">
        <is>
          <t>1 Left + 1 Right</t>
        </is>
      </c>
      <c r="E22" s="34" t="n">
        <v>2</v>
      </c>
      <c r="F22" s="36" t="n">
        <v>0</v>
      </c>
      <c r="G22" s="33">
        <f>E22*F22</f>
        <v/>
      </c>
    </row>
    <row r="23" ht="28" customHeight="1">
      <c r="B23" s="35" t="inlineStr">
        <is>
          <t>S251108</t>
        </is>
      </c>
      <c r="C23" s="30" t="inlineStr">
        <is>
          <t>Right Side Plastic 
Hinge Cover sr12</t>
        </is>
      </c>
      <c r="D23" s="38" t="inlineStr">
        <is>
          <t>Right Side only</t>
        </is>
      </c>
      <c r="E23" s="34" t="n">
        <v>2</v>
      </c>
      <c r="F23" s="36" t="n">
        <v>0</v>
      </c>
      <c r="G23" s="33">
        <f>E23*F23</f>
        <v/>
      </c>
    </row>
    <row r="24" ht="28" customHeight="1">
      <c r="B24" s="35" t="inlineStr">
        <is>
          <t>S251108</t>
        </is>
      </c>
      <c r="C24" s="39" t="inlineStr">
        <is>
          <t>Carbon Fiber Style Plastic Cover sr12</t>
        </is>
      </c>
      <c r="D24" s="38" t="inlineStr">
        <is>
          <t>N/A</t>
        </is>
      </c>
      <c r="E24" s="40" t="n">
        <v>2</v>
      </c>
      <c r="F24" s="41" t="n">
        <v>0</v>
      </c>
      <c r="G24" s="33">
        <f>E24*F24</f>
        <v/>
      </c>
    </row>
    <row r="25" ht="33" customHeight="1">
      <c r="B25" s="35" t="inlineStr">
        <is>
          <t>S251108</t>
        </is>
      </c>
      <c r="C25" s="39" t="inlineStr">
        <is>
          <t>Reclining Lever
Side Mechanism</t>
        </is>
      </c>
      <c r="D25" s="38" t="inlineStr">
        <is>
          <t>Right Side only</t>
        </is>
      </c>
      <c r="E25" s="40" t="n">
        <v>4</v>
      </c>
      <c r="F25" s="41" t="n">
        <v>0</v>
      </c>
      <c r="G25" s="33">
        <f>E25*F25</f>
        <v/>
      </c>
    </row>
    <row r="26" ht="31" customHeight="1">
      <c r="B26" s="35" t="n"/>
      <c r="C26" s="42" t="inlineStr">
        <is>
          <t>Total</t>
        </is>
      </c>
      <c r="E26" s="43">
        <f>SUM(E12:E25)</f>
        <v/>
      </c>
      <c r="F26" s="43" t="n"/>
      <c r="G26" s="44">
        <f>SUM(G12:G25)</f>
        <v/>
      </c>
    </row>
    <row r="27" ht="31" customHeight="1">
      <c r="A27" s="45" t="inlineStr">
        <is>
          <t>Actually loaded</t>
        </is>
      </c>
      <c r="E27" s="46" t="inlineStr">
        <is>
          <t>Order Amount</t>
        </is>
      </c>
      <c r="G27" s="47">
        <f>SUM(G26:G26)</f>
        <v/>
      </c>
    </row>
    <row r="28" ht="31" customHeight="1">
      <c r="A28" s="48" t="n"/>
      <c r="E28" s="49" t="inlineStr">
        <is>
          <t>DEPOSIT APPLIED</t>
        </is>
      </c>
      <c r="G28" s="50" t="n">
        <v>6930</v>
      </c>
    </row>
    <row r="29" ht="31" customHeight="1">
      <c r="E29" s="51" t="inlineStr">
        <is>
          <t>Discount</t>
        </is>
      </c>
      <c r="G29" s="52" t="n">
        <v>1000</v>
      </c>
    </row>
    <row r="30">
      <c r="E30" s="53" t="inlineStr">
        <is>
          <t>Balance PAYMENT</t>
        </is>
      </c>
      <c r="G30" s="54">
        <f>G27-G28-G29</f>
        <v/>
      </c>
    </row>
  </sheetData>
  <mergeCells count="13">
    <mergeCell ref="A12:A26"/>
    <mergeCell ref="A27:D27"/>
    <mergeCell ref="A1:G1"/>
    <mergeCell ref="E30:F30"/>
    <mergeCell ref="B5:D6"/>
    <mergeCell ref="E29:F29"/>
    <mergeCell ref="A3:G3"/>
    <mergeCell ref="A4:G4"/>
    <mergeCell ref="E27:F27"/>
    <mergeCell ref="E28:F28"/>
    <mergeCell ref="A28:D30"/>
    <mergeCell ref="A2:G2"/>
    <mergeCell ref="C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2026-06-24T02:53:18Z</dcterms:created>
  <dcterms:modified xsi:type="dcterms:W3CDTF">2026-06-24T02:53:19Z</dcterms:modified>
</cp:coreProperties>
</file>