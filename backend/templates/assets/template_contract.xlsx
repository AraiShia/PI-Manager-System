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采购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￥&quot;#,##0.00;&quot;￥&quot;\-#,##0.00"/>
    <numFmt numFmtId="165" formatCode="\ @"/>
  </numFmts>
  <fonts count="11">
    <font>
      <name val="Calibri"/>
      <family val="2"/>
      <color theme="1"/>
      <sz val="11"/>
      <scheme val="minor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indexed="8"/>
      <sz val="11"/>
    </font>
    <font>
      <name val="宋体"/>
      <charset val="134"/>
      <b val="1"/>
      <color rgb="FF000000"/>
      <sz val="11"/>
    </font>
    <font>
      <name val="宋体"/>
      <charset val="134"/>
      <b val="1"/>
      <color rgb="FFFF0000"/>
      <sz val="11"/>
      <scheme val="minor"/>
    </font>
    <font>
      <name val="宋体"/>
      <charset val="134"/>
      <color theme="1"/>
      <sz val="11"/>
      <scheme val="minor"/>
    </font>
    <font>
      <name val="微软雅黑"/>
      <charset val="134"/>
      <color theme="1"/>
      <sz val="12"/>
    </font>
    <font>
      <name val="宋体"/>
      <charset val="134"/>
      <b val="1"/>
      <color theme="1"/>
      <sz val="10"/>
    </font>
    <font>
      <name val="宋体"/>
      <charset val="134"/>
      <b val="1"/>
      <sz val="11"/>
    </font>
  </fonts>
  <fills count="5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vertical="center"/>
    </xf>
    <xf numFmtId="0" fontId="3" fillId="3" borderId="3" applyAlignment="1" pivotButton="0" quotePrefix="0" xfId="0">
      <alignment horizontal="right" vertical="center"/>
    </xf>
    <xf numFmtId="0" fontId="3" fillId="3" borderId="4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38" fontId="3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38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9" applyAlignment="1" pivotButton="0" quotePrefix="0" xfId="0">
      <alignment horizontal="left" vertical="center"/>
    </xf>
    <xf numFmtId="0" fontId="10" fillId="0" borderId="10" applyAlignment="1" pivotButton="0" quotePrefix="0" xfId="0">
      <alignment horizontal="justify" vertical="center"/>
    </xf>
    <xf numFmtId="0" fontId="3" fillId="0" borderId="0" applyAlignment="1" pivotButton="0" quotePrefix="0" xfId="0">
      <alignment vertical="center"/>
    </xf>
    <xf numFmtId="0" fontId="10" fillId="0" borderId="10" applyAlignment="1" pivotButton="0" quotePrefix="0" xfId="0">
      <alignment horizontal="left" vertical="center"/>
    </xf>
    <xf numFmtId="0" fontId="10" fillId="0" borderId="8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10" fillId="0" borderId="8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10" fillId="0" borderId="12" applyAlignment="1" pivotButton="0" quotePrefix="0" xfId="0">
      <alignment vertical="center"/>
    </xf>
    <xf numFmtId="0" fontId="10" fillId="0" borderId="13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9.2222222222222" customWidth="1" min="1" max="1"/>
    <col width="16.5555555555556" customWidth="1" min="2" max="2"/>
    <col width="14.3333333333333" customWidth="1" min="3" max="3"/>
    <col width="17.6851851851852" customWidth="1" min="4" max="4"/>
    <col width="31.5555555555556" customWidth="1" min="5" max="5"/>
    <col width="19.2222222222222" customWidth="1" min="6" max="6"/>
    <col width="18.8888888888889" customWidth="1" min="7" max="7"/>
    <col width="6.75925925925926" customWidth="1" min="8" max="8"/>
    <col width="12.3333333333333" customWidth="1" min="9" max="9"/>
    <col width="16" customWidth="1" min="10" max="10"/>
    <col width="17.5555555555556" customWidth="1" min="11" max="11"/>
    <col width="35.2222222222222" customWidth="1" min="12" max="12"/>
  </cols>
  <sheetData>
    <row r="1" ht="25.8" customHeight="1">
      <c r="A1" s="1" t="inlineStr">
        <is>
          <t>杭州维那贸易有限公司</t>
        </is>
      </c>
    </row>
    <row r="2" ht="20.4" customHeight="1">
      <c r="A2" s="2" t="inlineStr">
        <is>
          <t>采购合同</t>
        </is>
      </c>
    </row>
    <row r="3" ht="28.8" customHeight="1">
      <c r="A3" s="3" t="inlineStr">
        <is>
          <t>合 同 编 号</t>
        </is>
      </c>
      <c r="B3" s="4" t="inlineStr">
        <is>
          <t>供应商编号 + 维那编号 +采购日期 +序号  （XLW2204171）</t>
        </is>
      </c>
      <c r="C3" s="5" t="n"/>
      <c r="D3" s="5" t="n"/>
      <c r="E3" s="5" t="n"/>
      <c r="F3" s="6" t="n"/>
      <c r="G3" s="7" t="inlineStr">
        <is>
          <t>合 同 日 期:</t>
        </is>
      </c>
      <c r="K3" s="8" t="n">
        <v>45764</v>
      </c>
    </row>
    <row r="4" ht="129.6" customHeight="1">
      <c r="A4" s="9" t="inlineStr">
        <is>
          <t>卖方（盖章）</t>
        </is>
      </c>
      <c r="B4" s="10" t="n"/>
      <c r="F4" s="9" t="n"/>
      <c r="G4" s="11" t="inlineStr">
        <is>
          <t>买方（盖章）</t>
        </is>
      </c>
    </row>
    <row r="5" ht="141" customHeight="1">
      <c r="A5" s="11" t="inlineStr">
        <is>
          <t>供 应 商</t>
        </is>
      </c>
      <c r="B5" s="10" t="inlineStr">
        <is>
          <t>安吉大龙家具有限公司</t>
        </is>
      </c>
      <c r="F5" s="9" t="n"/>
      <c r="G5" s="11" t="inlineStr">
        <is>
          <t>采 购 商</t>
        </is>
      </c>
      <c r="H5" s="10" t="inlineStr">
        <is>
          <t>杭州维那贸易有限公司</t>
        </is>
      </c>
    </row>
    <row r="6" ht="21" customHeight="1">
      <c r="A6" s="11" t="inlineStr">
        <is>
          <t>联 系 人</t>
        </is>
      </c>
      <c r="B6" s="10" t="inlineStr">
        <is>
          <t>Jack Liu</t>
        </is>
      </c>
      <c r="F6" s="9" t="n"/>
      <c r="G6" s="11" t="inlineStr">
        <is>
          <t>联 系 人</t>
        </is>
      </c>
      <c r="H6" s="10" t="inlineStr">
        <is>
          <t>Jacky</t>
        </is>
      </c>
    </row>
    <row r="7" ht="19" customHeight="1">
      <c r="A7" s="11" t="inlineStr">
        <is>
          <t>联系电话</t>
        </is>
      </c>
      <c r="B7" s="10" t="inlineStr">
        <is>
          <t>0572-5718520</t>
        </is>
      </c>
      <c r="C7" s="10" t="n">
        <v>18857325120</v>
      </c>
      <c r="F7" s="9" t="n"/>
      <c r="G7" s="11" t="inlineStr">
        <is>
          <t>联系电话</t>
        </is>
      </c>
      <c r="H7" s="10" t="n">
        <v>18069766520</v>
      </c>
    </row>
    <row r="8" ht="19" customHeight="1">
      <c r="A8" s="11" t="inlineStr">
        <is>
          <t>地    址</t>
        </is>
      </c>
      <c r="B8" s="12" t="inlineStr">
        <is>
          <t>浙江省安吉县康山工业园</t>
        </is>
      </c>
      <c r="F8" s="13" t="n"/>
      <c r="G8" s="14" t="inlineStr">
        <is>
          <t>地    址</t>
        </is>
      </c>
      <c r="H8" s="10" t="n"/>
    </row>
    <row r="9" ht="22" customHeight="1">
      <c r="A9" s="11" t="inlineStr">
        <is>
          <t>图片</t>
        </is>
      </c>
      <c r="B9" s="15" t="inlineStr">
        <is>
          <t>维那型号
客户编号</t>
        </is>
      </c>
      <c r="C9" s="11" t="inlineStr">
        <is>
          <t>工厂型号</t>
        </is>
      </c>
      <c r="D9" s="11" t="inlineStr">
        <is>
          <t>产品名称</t>
        </is>
      </c>
      <c r="E9" s="11" t="inlineStr">
        <is>
          <t>描述</t>
        </is>
      </c>
      <c r="F9" s="11" t="inlineStr">
        <is>
          <t>规格/CM</t>
        </is>
      </c>
      <c r="G9" s="11" t="inlineStr">
        <is>
          <t>外包装尺寸</t>
        </is>
      </c>
      <c r="H9" s="15" t="inlineStr">
        <is>
          <t>数量</t>
        </is>
      </c>
      <c r="I9" s="15" t="inlineStr">
        <is>
          <t>单位</t>
        </is>
      </c>
      <c r="J9" s="15" t="inlineStr">
        <is>
          <t>净重/毛重</t>
        </is>
      </c>
      <c r="K9" s="15" t="inlineStr">
        <is>
          <t>单价（含税）</t>
        </is>
      </c>
      <c r="L9" s="15" t="inlineStr">
        <is>
          <t>总金额（含税）</t>
        </is>
      </c>
    </row>
    <row r="10" ht="17.4" customHeight="1">
      <c r="A10" s="9" t="n"/>
      <c r="B10" s="11" t="inlineStr">
        <is>
          <t>WN6712</t>
        </is>
      </c>
      <c r="C10" s="16" t="inlineStr">
        <is>
          <t>XL-6712</t>
        </is>
      </c>
      <c r="D10" s="16" t="inlineStr">
        <is>
          <t>电竞椅</t>
        </is>
      </c>
      <c r="E10" s="17" t="inlineStr">
        <is>
          <t>1.全PU面料
2.普通可调节4D扶手
3.350mm铁脚搭配65mm PU轮子
4.155 度 调角器+外壳
5.普通蝴蝶托盘
6.100mm 莱特4级气杆
7.腰靠弹出功能+坐垫使用F750铁架
8.记忆棉头枕</t>
        </is>
      </c>
      <c r="F10" s="16" t="inlineStr">
        <is>
          <t>68.5*74.5*127-135</t>
        </is>
      </c>
      <c r="G10" s="16" t="inlineStr">
        <is>
          <t>86*66*38cm</t>
        </is>
      </c>
      <c r="H10" s="11" t="n">
        <v>40</v>
      </c>
      <c r="I10" s="11" t="inlineStr">
        <is>
          <t>个</t>
        </is>
      </c>
      <c r="J10" s="11" t="inlineStr">
        <is>
          <t>26.5/29.6</t>
        </is>
      </c>
      <c r="K10" s="18" t="n">
        <v>635</v>
      </c>
      <c r="L10" s="18">
        <f>H10*K10</f>
        <v/>
      </c>
    </row>
    <row r="11" ht="22" customHeight="1">
      <c r="A11" s="9" t="n"/>
      <c r="B11" s="11" t="inlineStr">
        <is>
          <t>WN6712</t>
        </is>
      </c>
      <c r="C11" s="16" t="inlineStr">
        <is>
          <t>XL-6712-01</t>
        </is>
      </c>
      <c r="D11" s="16" t="inlineStr">
        <is>
          <t>电竞椅</t>
        </is>
      </c>
      <c r="E11" s="17" t="inlineStr">
        <is>
          <t>1.1718-18 灰色麻布
2.普通可调节4D扶手
3.350mm铁脚搭配65mm PU轮子
4.155 度调角器+外壳
5.普通蝴蝶托盘
6.100mm莱特4级气杆
7.腰靠弹出功能+坐垫使用F750铁架
8.记忆棉头枕</t>
        </is>
      </c>
      <c r="F11" s="16" t="inlineStr">
        <is>
          <t>68.5*74.5*127-135</t>
        </is>
      </c>
      <c r="G11" s="16" t="inlineStr">
        <is>
          <t>86*66*38cm</t>
        </is>
      </c>
      <c r="H11" s="11" t="n">
        <v>40</v>
      </c>
      <c r="I11" s="11" t="inlineStr">
        <is>
          <t>个</t>
        </is>
      </c>
      <c r="J11" s="11" t="inlineStr">
        <is>
          <t>26.5/29.6</t>
        </is>
      </c>
      <c r="K11" s="18" t="n">
        <v>635</v>
      </c>
      <c r="L11" s="19">
        <f>H11*K11</f>
        <v/>
      </c>
    </row>
    <row r="12" ht="18" customHeight="1">
      <c r="A12" s="20" t="inlineStr">
        <is>
          <t>总计</t>
        </is>
      </c>
      <c r="D12" s="21" t="n"/>
      <c r="E12" s="21" t="n"/>
      <c r="F12" s="21" t="n"/>
      <c r="G12" s="20" t="n"/>
      <c r="H12" s="20">
        <f>SUM(H10:H11)</f>
        <v/>
      </c>
      <c r="I12" s="20" t="n"/>
      <c r="J12" s="20" t="n"/>
      <c r="K12" s="20" t="n"/>
      <c r="L12" s="18">
        <f>SUM(L10:L11)</f>
        <v/>
      </c>
    </row>
    <row r="13" ht="18" customHeight="1">
      <c r="A13" s="10" t="inlineStr">
        <is>
          <t>产品要求</t>
        </is>
      </c>
      <c r="B13" s="22" t="inlineStr">
        <is>
          <t xml:space="preserve">无褶皱，清洁无线头，无银光笔笔痕，logo不能倾斜，正确区分青蛙托坐垫跟蝴蝶托坐垫                                         </t>
        </is>
      </c>
      <c r="M13" s="23" t="inlineStr">
        <is>
          <t>自定义内容1</t>
        </is>
      </c>
    </row>
    <row r="14" ht="18" customHeight="1">
      <c r="A14" s="9" t="inlineStr">
        <is>
          <t>包装要求</t>
        </is>
      </c>
      <c r="B14" s="24" t="inlineStr">
        <is>
          <t>300磅五层双瓦纸箱，内加EPE打包方式</t>
        </is>
      </c>
      <c r="M14" s="23" t="inlineStr">
        <is>
          <t>自定义内容2</t>
        </is>
      </c>
    </row>
    <row r="15" ht="18" customHeight="1">
      <c r="A15" s="9" t="n"/>
      <c r="B15" s="25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</row>
    <row r="16" ht="28" customHeight="1">
      <c r="A16" s="9" t="inlineStr">
        <is>
          <t>交货日期</t>
        </is>
      </c>
      <c r="B16" s="25" t="inlineStr">
        <is>
          <t>2025/05/18日前</t>
        </is>
      </c>
    </row>
    <row r="17" ht="40" customHeight="1">
      <c r="A17" s="9" t="inlineStr">
        <is>
          <t>交货地址</t>
        </is>
      </c>
      <c r="B17" s="25" t="inlineStr">
        <is>
          <t>送到买方指定仓库（卖方负责运输费用）</t>
        </is>
      </c>
    </row>
    <row r="18">
      <c r="A18" s="27" t="inlineStr">
        <is>
          <t>供应商收款名称</t>
        </is>
      </c>
      <c r="B18" s="28" t="inlineStr">
        <is>
          <t>安吉大龙家具有限公司</t>
        </is>
      </c>
      <c r="G18" s="29" t="inlineStr">
        <is>
          <t>收货联系人</t>
        </is>
      </c>
      <c r="H18" s="29" t="inlineStr">
        <is>
          <t>Jacky</t>
        </is>
      </c>
      <c r="M18" s="23" t="inlineStr">
        <is>
          <t>可修改</t>
        </is>
      </c>
    </row>
    <row r="19">
      <c r="A19" s="27" t="inlineStr">
        <is>
          <t>开发行及账号</t>
        </is>
      </c>
      <c r="B19" s="30" t="inlineStr">
        <is>
          <t>湖州银行股份有限公司安吉支行   811265887000909</t>
        </is>
      </c>
      <c r="G19" s="9" t="inlineStr">
        <is>
          <t>联系电话</t>
        </is>
      </c>
      <c r="H19" s="10" t="n">
        <v>18857325120</v>
      </c>
    </row>
    <row r="20">
      <c r="A20" s="9" t="inlineStr">
        <is>
          <t>付款方式</t>
        </is>
      </c>
      <c r="B20" s="10" t="inlineStr">
        <is>
          <t>下好订单，卖方确认合同盖章后付预付款；预付款30%，剩余款装货前付清</t>
        </is>
      </c>
      <c r="M20" s="23" t="inlineStr">
        <is>
          <t>付款方式：内容自定义</t>
        </is>
      </c>
    </row>
    <row r="21">
      <c r="A21" s="9" t="inlineStr">
        <is>
          <t>备注</t>
        </is>
      </c>
      <c r="B21" s="10" t="n"/>
    </row>
    <row r="22">
      <c r="A22" s="10" t="inlineStr">
        <is>
          <t>合同条款：</t>
        </is>
      </c>
    </row>
    <row r="23">
      <c r="A23" s="31" t="inlineStr">
        <is>
          <t>1.本合同自签订之日起，盖章签字后生效。如需修改或终止时，应经双方协商同意，另立协议方可有效。</t>
        </is>
      </c>
    </row>
    <row r="24">
      <c r="A24" s="31" t="inlineStr">
        <is>
          <t>2.本合同在执行期间任何一方违约，由双方协商解决，违约需赔偿损失。</t>
        </is>
      </c>
    </row>
    <row r="25">
      <c r="A25" s="31" t="inlineStr">
        <is>
          <t>3.买方接收货物，视为卖方履行生产义务；检验不合格的部件由卖方补发，买方根据情况要求卖方承担相应的违约责任。</t>
        </is>
      </c>
    </row>
    <row r="26">
      <c r="A26" s="32" t="inlineStr">
        <is>
          <t>4.在未达成新的协议前，卖方如需调整价格，需提前一个月向买方协商，同时卖方不得影响买方的正常供货。</t>
        </is>
      </c>
    </row>
    <row r="27"/>
    <row r="28">
      <c r="A28" s="33" t="inlineStr">
        <is>
          <t>卖方：</t>
        </is>
      </c>
      <c r="B28" s="34" t="inlineStr">
        <is>
          <t>安吉大龙家具有限公司</t>
        </is>
      </c>
      <c r="F28" s="35" t="n"/>
      <c r="G28" s="33" t="inlineStr">
        <is>
          <t>买方：</t>
        </is>
      </c>
      <c r="H28" s="36" t="inlineStr">
        <is>
          <t>杭州维那贸易有限公司</t>
        </is>
      </c>
    </row>
    <row r="29">
      <c r="A29" s="37" t="inlineStr">
        <is>
          <t>单位名称(公章)：</t>
        </is>
      </c>
      <c r="B29" s="38" t="n"/>
      <c r="C29" s="39" t="n"/>
      <c r="D29" s="39" t="n"/>
      <c r="E29" s="40" t="n"/>
      <c r="F29" s="35" t="n"/>
      <c r="G29" s="37" t="inlineStr">
        <is>
          <t>单位名称(公章)：</t>
        </is>
      </c>
      <c r="H29" s="41" t="n"/>
    </row>
    <row r="30">
      <c r="A30" s="42" t="inlineStr">
        <is>
          <t xml:space="preserve">单位地址： </t>
        </is>
      </c>
      <c r="B30" s="43" t="n"/>
      <c r="C30" s="39" t="n"/>
      <c r="D30" s="39" t="n"/>
      <c r="E30" s="40" t="n"/>
      <c r="F30" s="35" t="n"/>
      <c r="G30" s="37" t="inlineStr">
        <is>
          <t>单位地址：</t>
        </is>
      </c>
      <c r="H30" s="41" t="inlineStr">
        <is>
          <t>浙江省杭州市临平区南苑街道石门街6号2007</t>
        </is>
      </c>
    </row>
    <row r="31">
      <c r="A31" s="37" t="inlineStr">
        <is>
          <t>联系人:</t>
        </is>
      </c>
      <c r="B31" s="38" t="n"/>
      <c r="C31" s="39" t="n"/>
      <c r="D31" s="39" t="n"/>
      <c r="E31" s="40" t="n"/>
      <c r="F31" s="35" t="n"/>
      <c r="G31" s="37" t="inlineStr">
        <is>
          <t>联系人:</t>
        </is>
      </c>
      <c r="H31" s="41" t="inlineStr">
        <is>
          <t>李荣军</t>
        </is>
      </c>
    </row>
    <row r="32">
      <c r="A32" s="37" t="inlineStr">
        <is>
          <t>电话：</t>
        </is>
      </c>
      <c r="B32" s="38" t="inlineStr">
        <is>
          <t> </t>
        </is>
      </c>
      <c r="C32" s="39" t="n"/>
      <c r="D32" s="39" t="n"/>
      <c r="E32" s="40" t="n"/>
      <c r="F32" s="35" t="n"/>
      <c r="G32" s="37" t="inlineStr">
        <is>
          <t>电话：</t>
        </is>
      </c>
      <c r="H32" s="41" t="inlineStr">
        <is>
          <t>0571-86131966</t>
        </is>
      </c>
    </row>
    <row r="33">
      <c r="A33" s="44" t="n"/>
      <c r="B33" s="45" t="n"/>
      <c r="C33" s="45" t="n"/>
      <c r="D33" s="45" t="n"/>
      <c r="E33" s="46" t="n"/>
      <c r="F33" s="35" t="n"/>
      <c r="G33" s="47" t="n"/>
      <c r="H33" s="48" t="n"/>
    </row>
  </sheetData>
  <mergeCells count="37">
    <mergeCell ref="H30:L30"/>
    <mergeCell ref="A25:L25"/>
    <mergeCell ref="H29:L29"/>
    <mergeCell ref="B16:L16"/>
    <mergeCell ref="B6:E6"/>
    <mergeCell ref="B5:E5"/>
    <mergeCell ref="A12:C12"/>
    <mergeCell ref="H31:L31"/>
    <mergeCell ref="B18:F18"/>
    <mergeCell ref="A26:L26"/>
    <mergeCell ref="A2:L2"/>
    <mergeCell ref="B4:E4"/>
    <mergeCell ref="B21:L21"/>
    <mergeCell ref="H6:L6"/>
    <mergeCell ref="A23:L23"/>
    <mergeCell ref="A22:L22"/>
    <mergeCell ref="G4:L4"/>
    <mergeCell ref="C7:E7"/>
    <mergeCell ref="B14:L14"/>
    <mergeCell ref="B17:L17"/>
    <mergeCell ref="B13:L13"/>
    <mergeCell ref="H7:L7"/>
    <mergeCell ref="H32:L32"/>
    <mergeCell ref="B19:F19"/>
    <mergeCell ref="H28:L28"/>
    <mergeCell ref="H19:L19"/>
    <mergeCell ref="A24:L24"/>
    <mergeCell ref="B8:E8"/>
    <mergeCell ref="G3:J3"/>
    <mergeCell ref="A1:L1"/>
    <mergeCell ref="B20:L20"/>
    <mergeCell ref="H18:L18"/>
    <mergeCell ref="H33:L33"/>
    <mergeCell ref="H5:L5"/>
    <mergeCell ref="B28:E28"/>
    <mergeCell ref="H8:L8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2026-06-24T02:53:19Z</dcterms:created>
  <dcterms:modified xsi:type="dcterms:W3CDTF">2026-06-24T02:53:19Z</dcterms:modified>
</cp:coreProperties>
</file>